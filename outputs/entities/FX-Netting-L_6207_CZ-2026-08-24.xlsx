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76e14a47c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c566a5edf183400f"/>
    <x:sheet xmlns:r="http://schemas.openxmlformats.org/officeDocument/2006/relationships" name="Details" sheetId="2" r:id="R6a934b45da03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aa360fd37416f" /><Relationship Type="http://schemas.openxmlformats.org/officeDocument/2006/relationships/theme" Target="/xl/theme/theme1.xml" Id="Rba904efbac8f4539" /><Relationship Type="http://schemas.openxmlformats.org/officeDocument/2006/relationships/sharedStrings" Target="/xl/sharedStrings.xml" Id="R75e7179c72ac48c3" /><Relationship Type="http://schemas.openxmlformats.org/officeDocument/2006/relationships/worksheet" Target="/xl/worksheets/sheet1.xml" Id="Rc566a5edf183400f" /><Relationship Type="http://schemas.openxmlformats.org/officeDocument/2006/relationships/worksheet" Target="/xl/worksheets/sheet2.xml" Id="R6a934b45da034a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L_6207_CZ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1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L_6207_CZ</x:v>
      </x:c>
      <x:c r="B5" s="7" t="str">
        <x:v>L_0100_LU</x:v>
      </x:c>
      <x:c r="C5" s="8" t="n">
        <x:v>46258</x:v>
      </x:c>
      <x:c r="D5" s="7" t="str">
        <x:v>CNY</x:v>
      </x:c>
      <x:c r="E5" s="7" t="n">
        <x:f>COUNTIFS('Details'!$B$2:$B$2,A5,'Details'!$C$2:$C$2,B5,'Details'!$E$2:$E$2,C5,'Details'!$H$2:$H$2,D5)</x:f>
        <x:v>1</x:v>
      </x:c>
      <x:c r="F5" s="9" t="n">
        <x:f>SUMIFS('Details'!$N$2:$N$2,'Details'!$B$2:$B$2,A5,'Details'!$C$2:$C$2,B5,'Details'!$E$2:$E$2,C5,'Details'!$H$2:$H$2,D5)</x:f>
        <x:v>-8238.21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3" t="str">
        <x:v>Reference</x:v>
      </x:c>
      <x:c r="B1" s="13" t="str">
        <x:v>Entity</x:v>
      </x:c>
      <x:c r="C1" s="13" t="str">
        <x:v>Counterparty</x:v>
      </x:c>
      <x:c r="D1" s="13" t="str">
        <x:v>Int/Ext</x:v>
      </x:c>
      <x:c r="E1" s="13" t="str">
        <x:v>Value Date</x:v>
      </x:c>
      <x:c r="F1" s="13" t="str">
        <x:v>Deal Type</x:v>
      </x:c>
      <x:c r="G1" s="13" t="str">
        <x:v>Buy/Sell</x:v>
      </x:c>
      <x:c r="H1" s="13" t="str">
        <x:v>Currency</x:v>
      </x:c>
      <x:c r="I1" s="13" t="str">
        <x:v>Amount</x:v>
      </x:c>
      <x:c r="J1" s="13" t="str">
        <x:v>Rate</x:v>
      </x:c>
      <x:c r="K1" s="13" t="str">
        <x:v>Equivalent Currency</x:v>
      </x:c>
      <x:c r="L1" s="13" t="str">
        <x:v>Equivalent Amount EUR</x:v>
      </x:c>
      <x:c r="M1" s="13" t="str">
        <x:v>Mark-to-market</x:v>
      </x:c>
      <x:c r="N1" s="13" t="str">
        <x:v>Diff. in GC</x:v>
      </x:c>
      <x:c r="O1" s="13" t="str">
        <x:v>Amount (MTM) EUR</x:v>
      </x:c>
      <x:c r="P1" s="13" t="str">
        <x:v>Portfolio</x:v>
      </x:c>
    </x:row>
    <x:row r="2">
      <x:c r="A2" t="str">
        <x:v>FW-105686</x:v>
      </x:c>
      <x:c r="B2" t="str">
        <x:v>L_6207_CZ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Buy</x:v>
      </x:c>
      <x:c r="H2" t="str">
        <x:v>CNY</x:v>
      </x:c>
      <x:c r="I2" s="9" t="n">
        <x:v>2800000</x:v>
      </x:c>
      <x:c r="J2" s="14" t="n">
        <x:v>3.14639</x:v>
      </x:c>
      <x:c r="K2" t="str">
        <x:v>CZK</x:v>
      </x:c>
      <x:c r="L2" s="9" t="n">
        <x:v>-8809892</x:v>
      </x:c>
      <x:c r="M2" s="9" t="n">
        <x:v>3.075327</x:v>
      </x:c>
      <x:c r="N2" s="9" t="n">
        <x:v>-8238.21</x:v>
      </x:c>
      <x:c r="O2" s="9" t="n">
        <x:v>-8610914.46</x:v>
      </x:c>
      <x:c r="P2" t="str">
        <x:v>FX-OP-UDL</x:v>
      </x:c>
    </x:row>
  </x:sheetData>
  <x:pageMargins left="0.7" right="0.7" top="0.75" bottom="0.75" header="0.3" footer="0.3"/>
</x:worksheet>
</file>