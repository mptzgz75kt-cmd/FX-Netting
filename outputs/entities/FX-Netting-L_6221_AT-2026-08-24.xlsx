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99063c72a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0d03f718b9c942e5"/>
    <x:sheet xmlns:r="http://schemas.openxmlformats.org/officeDocument/2006/relationships" name="Details" sheetId="2" r:id="R63052a61b7ce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;-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70c080a764c3a" /><Relationship Type="http://schemas.openxmlformats.org/officeDocument/2006/relationships/theme" Target="/xl/theme/theme1.xml" Id="Ra2d924ffee554641" /><Relationship Type="http://schemas.openxmlformats.org/officeDocument/2006/relationships/sharedStrings" Target="/xl/sharedStrings.xml" Id="R81c494e88cc2442a" /><Relationship Type="http://schemas.openxmlformats.org/officeDocument/2006/relationships/worksheet" Target="/xl/worksheets/sheet1.xml" Id="R0d03f718b9c942e5" /><Relationship Type="http://schemas.openxmlformats.org/officeDocument/2006/relationships/worksheet" Target="/xl/worksheets/sheet2.xml" Id="R63052a61b7ce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L_6221_AT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7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L_6221_AT</x:v>
      </x:c>
      <x:c r="B5" s="7" t="str">
        <x:v>L_0100_LU</x:v>
      </x:c>
      <x:c r="C5" s="8" t="n">
        <x:v>46258</x:v>
      </x:c>
      <x:c r="D5" s="7" t="str">
        <x:v>CNY</x:v>
      </x:c>
      <x:c r="E5" s="7" t="n">
        <x:f>COUNTIFS('Details'!$B$2:$B$8,A5,'Details'!$C$2:$C$8,B5,'Details'!$E$2:$E$8,C5,'Details'!$H$2:$H$8,D5)</x:f>
        <x:v>2</x:v>
      </x:c>
      <x:c r="F5" s="9" t="n">
        <x:f>SUMIFS('Details'!$N$2:$N$8,'Details'!$B$2:$B$8,A5,'Details'!$C$2:$C$8,B5,'Details'!$E$2:$E$8,C5,'Details'!$H$2:$H$8,D5)</x:f>
        <x:v>-2449.19</x:v>
      </x:c>
    </x:row>
    <x:row r="6">
      <x:c r="A6" s="7" t="str">
        <x:v>L_6221_AT</x:v>
      </x:c>
      <x:c r="B6" s="7" t="str">
        <x:v>L_0100_LU</x:v>
      </x:c>
      <x:c r="C6" s="8" t="n">
        <x:v>46258</x:v>
      </x:c>
      <x:c r="D6" s="7" t="str">
        <x:v>INR</x:v>
      </x:c>
      <x:c r="E6" s="7" t="n">
        <x:f>COUNTIFS('Details'!$B$2:$B$8,A6,'Details'!$C$2:$C$8,B6,'Details'!$E$2:$E$8,C6,'Details'!$H$2:$H$8,D6)</x:f>
        <x:v>4</x:v>
      </x:c>
      <x:c r="F6" s="9" t="n">
        <x:f>SUMIFS('Details'!$N$2:$N$8,'Details'!$B$2:$B$8,A6,'Details'!$C$2:$C$8,B6,'Details'!$E$2:$E$8,C6,'Details'!$H$2:$H$8,D6)</x:f>
        <x:v>-5010.34</x:v>
      </x:c>
    </x:row>
    <x:row r="7">
      <x:c r="A7" s="7" t="str">
        <x:v>L_6221_AT</x:v>
      </x:c>
      <x:c r="B7" s="7" t="str">
        <x:v>L_0100_LU</x:v>
      </x:c>
      <x:c r="C7" s="8" t="n">
        <x:v>46258</x:v>
      </x:c>
      <x:c r="D7" s="7" t="str">
        <x:v>USD</x:v>
      </x:c>
      <x:c r="E7" s="7" t="n">
        <x:f>COUNTIFS('Details'!$B$2:$B$8,A7,'Details'!$C$2:$C$8,B7,'Details'!$E$2:$E$8,C7,'Details'!$H$2:$H$8,D7)</x:f>
        <x:v>1</x:v>
      </x:c>
      <x:c r="F7" s="9" t="n">
        <x:f>SUMIFS('Details'!$N$2:$N$8,'Details'!$B$2:$B$8,A7,'Details'!$C$2:$C$8,B7,'Details'!$E$2:$E$8,C7,'Details'!$H$2:$H$8,D7)</x:f>
        <x:v>-2943.66</x:v>
      </x:c>
    </x:row>
    <x:row r="8">
      <x:c r="A8" s="11" t="str">
        <x:v>Summe Diff. in GC</x:v>
      </x:c>
      <x:c r="B8" s="11"/>
      <x:c r="C8" s="11"/>
      <x:c r="D8" s="11"/>
      <x:c r="E8" s="11"/>
      <x:c r="F8" s="12" t="n">
        <x:f>SUM(F5:F7)</x:f>
        <x:v>-10403.19</x:v>
      </x:c>
    </x:row>
  </x:sheetData>
  <x:mergeCells>
    <x:mergeCell ref="A1:F1"/>
    <x:mergeCell ref="A2:F2"/>
    <x:mergeCell ref="A8:E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6" t="str">
        <x:v>Reference</x:v>
      </x:c>
      <x:c r="B1" s="16" t="str">
        <x:v>Entity</x:v>
      </x:c>
      <x:c r="C1" s="16" t="str">
        <x:v>Counterparty</x:v>
      </x:c>
      <x:c r="D1" s="16" t="str">
        <x:v>Int/Ext</x:v>
      </x:c>
      <x:c r="E1" s="16" t="str">
        <x:v>Value Date</x:v>
      </x:c>
      <x:c r="F1" s="16" t="str">
        <x:v>Deal Type</x:v>
      </x:c>
      <x:c r="G1" s="16" t="str">
        <x:v>Buy/Sell</x:v>
      </x:c>
      <x:c r="H1" s="16" t="str">
        <x:v>Currency</x:v>
      </x:c>
      <x:c r="I1" s="16" t="str">
        <x:v>Amount</x:v>
      </x:c>
      <x:c r="J1" s="16" t="str">
        <x:v>Rate</x:v>
      </x:c>
      <x:c r="K1" s="16" t="str">
        <x:v>Equivalent Currency</x:v>
      </x:c>
      <x:c r="L1" s="16" t="str">
        <x:v>Equivalent Amount EUR</x:v>
      </x:c>
      <x:c r="M1" s="16" t="str">
        <x:v>Mark-to-market</x:v>
      </x:c>
      <x:c r="N1" s="16" t="str">
        <x:v>Diff. in GC</x:v>
      </x:c>
      <x:c r="O1" s="16" t="str">
        <x:v>Amount (MTM) EUR</x:v>
      </x:c>
      <x:c r="P1" s="16" t="str">
        <x:v>Portfolio</x:v>
      </x:c>
    </x:row>
    <x:row r="2">
      <x:c r="A2" t="str">
        <x:v>FW-105311</x:v>
      </x:c>
      <x:c r="B2" t="str">
        <x:v>L_6221_AT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CNY</x:v>
      </x:c>
      <x:c r="I2" s="9" t="n">
        <x:v>400000</x:v>
      </x:c>
      <x:c r="J2" s="17" t="n">
        <x:v>7.70405</x:v>
      </x:c>
      <x:c r="K2" t="str">
        <x:v>EUR</x:v>
      </x:c>
      <x:c r="L2" s="9" t="n">
        <x:v>-51920.74</x:v>
      </x:c>
      <x:c r="M2" s="9" t="n">
        <x:v>7.8538</x:v>
      </x:c>
      <x:c r="N2" s="9" t="n">
        <x:v>-989.98</x:v>
      </x:c>
      <x:c r="O2" s="9" t="n">
        <x:v>-50930.76</x:v>
      </x:c>
      <x:c r="P2" t="str">
        <x:v>FX-OP-UDL</x:v>
      </x:c>
    </x:row>
    <x:row r="3">
      <x:c r="A3" t="str">
        <x:v>FW-105531</x:v>
      </x:c>
      <x:c r="B3" t="str">
        <x:v>L_6221_AT</x:v>
      </x:c>
      <x:c r="C3" t="str">
        <x:v>L_0100_LU</x:v>
      </x:c>
      <x:c r="D3" t="str">
        <x:v>Internal</x:v>
      </x:c>
      <x:c r="E3" s="8" t="n">
        <x:v>46258</x:v>
      </x:c>
      <x:c r="F3" t="str">
        <x:v>Forward</x:v>
      </x:c>
      <x:c r="G3" t="str">
        <x:v>Buy</x:v>
      </x:c>
      <x:c r="H3" t="str">
        <x:v>CNY</x:v>
      </x:c>
      <x:c r="I3" s="9" t="n">
        <x:v>600000</x:v>
      </x:c>
      <x:c r="J3" s="17" t="n">
        <x:v>7.7066</x:v>
      </x:c>
      <x:c r="K3" t="str">
        <x:v>EUR</x:v>
      </x:c>
      <x:c r="L3" s="9" t="n">
        <x:v>-77855.34</x:v>
      </x:c>
      <x:c r="M3" s="9" t="n">
        <x:v>7.8538</x:v>
      </x:c>
      <x:c r="N3" s="9" t="n">
        <x:v>-1459.21</x:v>
      </x:c>
      <x:c r="O3" s="9" t="n">
        <x:v>-76396.14</x:v>
      </x:c>
      <x:c r="P3" t="str">
        <x:v>FX-OP-UDL</x:v>
      </x:c>
    </x:row>
    <x:row r="4">
      <x:c r="A4" t="str">
        <x:v>NDF-105645</x:v>
      </x:c>
      <x:c r="B4" t="str">
        <x:v>L_6221_AT</x:v>
      </x:c>
      <x:c r="C4" t="str">
        <x:v>L_0100_LU</x:v>
      </x:c>
      <x:c r="D4" t="str">
        <x:v>Internal</x:v>
      </x:c>
      <x:c r="E4" s="8" t="n">
        <x:v>46258</x:v>
      </x:c>
      <x:c r="F4" t="str">
        <x:v>Non Delivery Forward</x:v>
      </x:c>
      <x:c r="G4" t="str">
        <x:v>Buy</x:v>
      </x:c>
      <x:c r="H4" t="str">
        <x:v>INR</x:v>
      </x:c>
      <x:c r="I4" s="9" t="n">
        <x:v>10000000</x:v>
      </x:c>
      <x:c r="J4" s="17" t="n">
        <x:v>108.69</x:v>
      </x:c>
      <x:c r="K4" t="str">
        <x:v>EUR</x:v>
      </x:c>
      <x:c r="L4" s="9" t="n">
        <x:v>-92004.78</x:v>
      </x:c>
      <x:c r="M4" s="9" t="n">
        <x:v>111.7985</x:v>
      </x:c>
      <x:c r="N4" s="9" t="n">
        <x:v>-2558.15</x:v>
      </x:c>
      <x:c r="O4" s="9" t="n">
        <x:v>-89446.64</x:v>
      </x:c>
      <x:c r="P4" t="str">
        <x:v>FX-OP-UDL</x:v>
      </x:c>
    </x:row>
    <x:row r="5">
      <x:c r="A5" t="str">
        <x:v>NDF-105680</x:v>
      </x:c>
      <x:c r="B5" t="str">
        <x:v>L_6221_AT</x:v>
      </x:c>
      <x:c r="C5" t="str">
        <x:v>L_0100_LU</x:v>
      </x:c>
      <x:c r="D5" t="str">
        <x:v>Internal</x:v>
      </x:c>
      <x:c r="E5" s="8" t="n">
        <x:v>46258</x:v>
      </x:c>
      <x:c r="F5" t="str">
        <x:v>Non Delivery Forward</x:v>
      </x:c>
      <x:c r="G5" t="str">
        <x:v>Buy</x:v>
      </x:c>
      <x:c r="H5" t="str">
        <x:v>INR</x:v>
      </x:c>
      <x:c r="I5" s="9" t="n">
        <x:v>9000000</x:v>
      </x:c>
      <x:c r="J5" s="17" t="n">
        <x:v>108.74</x:v>
      </x:c>
      <x:c r="K5" t="str">
        <x:v>EUR</x:v>
      </x:c>
      <x:c r="L5" s="9" t="n">
        <x:v>-82766.23</x:v>
      </x:c>
      <x:c r="M5" s="9" t="n">
        <x:v>111.7985</x:v>
      </x:c>
      <x:c r="N5" s="9" t="n">
        <x:v>-2264.26</x:v>
      </x:c>
      <x:c r="O5" s="9" t="n">
        <x:v>-80501.97</x:v>
      </x:c>
      <x:c r="P5" t="str">
        <x:v>FX-OP-UDL</x:v>
      </x:c>
    </x:row>
    <x:row r="6">
      <x:c r="A6" t="str">
        <x:v>NDF-105713</x:v>
      </x:c>
      <x:c r="B6" t="str">
        <x:v>L_6221_AT</x:v>
      </x:c>
      <x:c r="C6" t="str">
        <x:v>L_0100_LU</x:v>
      </x:c>
      <x:c r="D6" t="str">
        <x:v>Internal</x:v>
      </x:c>
      <x:c r="E6" s="8" t="n">
        <x:v>46258</x:v>
      </x:c>
      <x:c r="F6" t="str">
        <x:v>Non Delivery Forward</x:v>
      </x:c>
      <x:c r="G6" t="str">
        <x:v>Buy</x:v>
      </x:c>
      <x:c r="H6" t="str">
        <x:v>INR</x:v>
      </x:c>
      <x:c r="I6" s="9" t="n">
        <x:v>10000000</x:v>
      </x:c>
      <x:c r="J6" s="17" t="n">
        <x:v>109.51</x:v>
      </x:c>
      <x:c r="K6" t="str">
        <x:v>EUR</x:v>
      </x:c>
      <x:c r="L6" s="9" t="n">
        <x:v>-91315.86</x:v>
      </x:c>
      <x:c r="M6" s="9" t="n">
        <x:v>111.7985</x:v>
      </x:c>
      <x:c r="N6" s="9" t="n">
        <x:v>-1869.22</x:v>
      </x:c>
      <x:c r="O6" s="9" t="n">
        <x:v>-89446.64</x:v>
      </x:c>
      <x:c r="P6" t="str">
        <x:v>FX-OP-UDL</x:v>
      </x:c>
    </x:row>
    <x:row r="7">
      <x:c r="A7" t="str">
        <x:v>FW-105730</x:v>
      </x:c>
      <x:c r="B7" t="str">
        <x:v>L_6221_AT</x:v>
      </x:c>
      <x:c r="C7" t="str">
        <x:v>L_0100_LU</x:v>
      </x:c>
      <x:c r="D7" t="str">
        <x:v>Internal</x:v>
      </x:c>
      <x:c r="E7" s="8" t="n">
        <x:v>46258</x:v>
      </x:c>
      <x:c r="F7" t="str">
        <x:v>Forward</x:v>
      </x:c>
      <x:c r="G7" t="str">
        <x:v>Buy</x:v>
      </x:c>
      <x:c r="H7" t="str">
        <x:v>USD</x:v>
      </x:c>
      <x:c r="I7" s="9" t="n">
        <x:v>130000</x:v>
      </x:c>
      <x:c r="J7" s="17" t="n">
        <x:v>1.138</x:v>
      </x:c>
      <x:c r="K7" t="str">
        <x:v>EUR</x:v>
      </x:c>
      <x:c r="L7" s="9" t="n">
        <x:v>-114235.5</x:v>
      </x:c>
      <x:c r="M7" s="9" t="n">
        <x:v>1.1681</x:v>
      </x:c>
      <x:c r="N7" s="9" t="n">
        <x:v>-2943.66</x:v>
      </x:c>
      <x:c r="O7" s="9" t="n">
        <x:v>-111291.84</x:v>
      </x:c>
      <x:c r="P7" t="str">
        <x:v>FX-OP-UDL</x:v>
      </x:c>
    </x:row>
    <x:row r="8">
      <x:c r="A8" t="str">
        <x:v>NDF-105984</x:v>
      </x:c>
      <x:c r="B8" t="str">
        <x:v>L_6221_AT</x:v>
      </x:c>
      <x:c r="C8" t="str">
        <x:v>L_0100_LU</x:v>
      </x:c>
      <x:c r="D8" t="str">
        <x:v>Internal</x:v>
      </x:c>
      <x:c r="E8" s="8" t="n">
        <x:v>46258</x:v>
      </x:c>
      <x:c r="F8" t="str">
        <x:v>Non Delivery Forward</x:v>
      </x:c>
      <x:c r="G8" t="str">
        <x:v>Sell</x:v>
      </x:c>
      <x:c r="H8" t="str">
        <x:v>INR</x:v>
      </x:c>
      <x:c r="I8" s="9" t="n">
        <x:v>-18600000</x:v>
      </x:c>
      <x:c r="J8" s="17" t="n">
        <x:v>110.68</x:v>
      </x:c>
      <x:c r="K8" t="str">
        <x:v>EUR</x:v>
      </x:c>
      <x:c r="L8" s="9" t="n">
        <x:v>168052.04</x:v>
      </x:c>
      <x:c r="M8" s="9" t="n">
        <x:v>111.7985</x:v>
      </x:c>
      <x:c r="N8" s="9" t="n">
        <x:v>1681.29</x:v>
      </x:c>
      <x:c r="O8" s="9" t="n">
        <x:v>166370.75</x:v>
      </x:c>
      <x:c r="P8" t="str">
        <x:v>FX-OP-UDL</x:v>
      </x:c>
    </x:row>
  </x:sheetData>
  <x:pageMargins left="0.7" right="0.7" top="0.75" bottom="0.75" header="0.3" footer="0.3"/>
</x:worksheet>
</file>