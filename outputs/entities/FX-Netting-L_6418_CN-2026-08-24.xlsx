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3fbc92f69e49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72bf6339c9024732"/>
    <x:sheet xmlns:r="http://schemas.openxmlformats.org/officeDocument/2006/relationships" name="Details" sheetId="2" r:id="Re69c2229499142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1ea4a645e441bb" /><Relationship Type="http://schemas.openxmlformats.org/officeDocument/2006/relationships/theme" Target="/xl/theme/theme1.xml" Id="Reae4565a518c4ad7" /><Relationship Type="http://schemas.openxmlformats.org/officeDocument/2006/relationships/sharedStrings" Target="/xl/sharedStrings.xml" Id="Rf26cae92a06343e1" /><Relationship Type="http://schemas.openxmlformats.org/officeDocument/2006/relationships/worksheet" Target="/xl/worksheets/sheet1.xml" Id="R72bf6339c9024732" /><Relationship Type="http://schemas.openxmlformats.org/officeDocument/2006/relationships/worksheet" Target="/xl/worksheets/sheet2.xml" Id="Re69c2229499142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L_6418_CN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13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L_6418_CN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COUNTIFS('Details'!$B$2:$B$14,A5,'Details'!$C$2:$C$14,B5,'Details'!$E$2:$E$14,C5,'Details'!$H$2:$H$14,D5)</x:f>
        <x:v>13</x:v>
      </x:c>
      <x:c r="F5" s="9" t="n">
        <x:f>SUMIFS('Details'!$N$2:$N$14,'Details'!$B$2:$B$14,A5,'Details'!$C$2:$C$14,B5,'Details'!$E$2:$E$14,C5,'Details'!$H$2:$H$14,D5)</x:f>
        <x:v>29800.769999999997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FW-105094</x:v>
      </x:c>
      <x:c r="B2" t="str">
        <x:v>L_6418_CN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Sell</x:v>
      </x:c>
      <x:c r="H2" t="str">
        <x:v>CNY</x:v>
      </x:c>
      <x:c r="I2" s="9" t="n">
        <x:v>-500000</x:v>
      </x:c>
      <x:c r="J2" s="14" t="n">
        <x:v>7.7235</x:v>
      </x:c>
      <x:c r="K2" t="str">
        <x:v>EUR</x:v>
      </x:c>
      <x:c r="L2" s="9" t="n">
        <x:v>64737.49</x:v>
      </x:c>
      <x:c r="M2" s="9" t="n">
        <x:v>7.8538</x:v>
      </x:c>
      <x:c r="N2" s="9" t="n">
        <x:v>1074.04</x:v>
      </x:c>
      <x:c r="O2" s="9" t="n">
        <x:v>63663.45</x:v>
      </x:c>
      <x:c r="P2" t="str">
        <x:v>FX-OP-UDL</x:v>
      </x:c>
    </x:row>
    <x:row r="3">
      <x:c r="A3" t="str">
        <x:v>FW-105154</x:v>
      </x:c>
      <x:c r="B3" t="str">
        <x:v>L_6418_CN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Sell</x:v>
      </x:c>
      <x:c r="H3" t="str">
        <x:v>CNY</x:v>
      </x:c>
      <x:c r="I3" s="9" t="n">
        <x:v>-600000</x:v>
      </x:c>
      <x:c r="J3" s="14" t="n">
        <x:v>7.7411</x:v>
      </x:c>
      <x:c r="K3" t="str">
        <x:v>EUR</x:v>
      </x:c>
      <x:c r="L3" s="9" t="n">
        <x:v>77508.36</x:v>
      </x:c>
      <x:c r="M3" s="9" t="n">
        <x:v>7.8538</x:v>
      </x:c>
      <x:c r="N3" s="9" t="n">
        <x:v>1112.22</x:v>
      </x:c>
      <x:c r="O3" s="9" t="n">
        <x:v>76396.14</x:v>
      </x:c>
      <x:c r="P3" t="str">
        <x:v>FX-OP-UDL</x:v>
      </x:c>
    </x:row>
    <x:row r="4">
      <x:c r="A4" t="str">
        <x:v>FW-105211</x:v>
      </x:c>
      <x:c r="B4" t="str">
        <x:v>L_6418_CN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Sell</x:v>
      </x:c>
      <x:c r="H4" t="str">
        <x:v>CNY</x:v>
      </x:c>
      <x:c r="I4" s="9" t="n">
        <x:v>-800000</x:v>
      </x:c>
      <x:c r="J4" s="14" t="n">
        <x:v>7.755</x:v>
      </x:c>
      <x:c r="K4" t="str">
        <x:v>EUR</x:v>
      </x:c>
      <x:c r="L4" s="9" t="n">
        <x:v>103159.25</x:v>
      </x:c>
      <x:c r="M4" s="9" t="n">
        <x:v>7.8538</x:v>
      </x:c>
      <x:c r="N4" s="9" t="n">
        <x:v>1297.73</x:v>
      </x:c>
      <x:c r="O4" s="9" t="n">
        <x:v>101861.52</x:v>
      </x:c>
      <x:c r="P4" t="str">
        <x:v>FX-OP-UDL</x:v>
      </x:c>
    </x:row>
    <x:row r="5">
      <x:c r="A5" t="str">
        <x:v>FW-105315</x:v>
      </x:c>
      <x:c r="B5" t="str">
        <x:v>L_6418_CN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Sell</x:v>
      </x:c>
      <x:c r="H5" t="str">
        <x:v>CNY</x:v>
      </x:c>
      <x:c r="I5" s="9" t="n">
        <x:v>-1800000</x:v>
      </x:c>
      <x:c r="J5" s="14" t="n">
        <x:v>7.70405</x:v>
      </x:c>
      <x:c r="K5" t="str">
        <x:v>EUR</x:v>
      </x:c>
      <x:c r="L5" s="9" t="n">
        <x:v>233643.34</x:v>
      </x:c>
      <x:c r="M5" s="9" t="n">
        <x:v>7.8538</x:v>
      </x:c>
      <x:c r="N5" s="9" t="n">
        <x:v>4454.93</x:v>
      </x:c>
      <x:c r="O5" s="9" t="n">
        <x:v>229188.42</x:v>
      </x:c>
      <x:c r="P5" t="str">
        <x:v>FX-OP-UDL</x:v>
      </x:c>
    </x:row>
    <x:row r="6">
      <x:c r="A6" t="str">
        <x:v>FW-105348</x:v>
      </x:c>
      <x:c r="B6" t="str">
        <x:v>L_6418_CN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Sell</x:v>
      </x:c>
      <x:c r="H6" t="str">
        <x:v>CNY</x:v>
      </x:c>
      <x:c r="I6" s="9" t="n">
        <x:v>-1200000</x:v>
      </x:c>
      <x:c r="J6" s="14" t="n">
        <x:v>7.74765</x:v>
      </x:c>
      <x:c r="K6" t="str">
        <x:v>EUR</x:v>
      </x:c>
      <x:c r="L6" s="9" t="n">
        <x:v>154885.68</x:v>
      </x:c>
      <x:c r="M6" s="9" t="n">
        <x:v>7.8538</x:v>
      </x:c>
      <x:c r="N6" s="9" t="n">
        <x:v>2093.4</x:v>
      </x:c>
      <x:c r="O6" s="9" t="n">
        <x:v>152792.28</x:v>
      </x:c>
      <x:c r="P6" t="str">
        <x:v>FX-OP-UDL</x:v>
      </x:c>
    </x:row>
    <x:row r="7">
      <x:c r="A7" t="str">
        <x:v>FW-105380</x:v>
      </x:c>
      <x:c r="B7" t="str">
        <x:v>L_6418_CN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Sell</x:v>
      </x:c>
      <x:c r="H7" t="str">
        <x:v>CNY</x:v>
      </x:c>
      <x:c r="I7" s="9" t="n">
        <x:v>-1000000</x:v>
      </x:c>
      <x:c r="J7" s="14" t="n">
        <x:v>7.7268</x:v>
      </x:c>
      <x:c r="K7" t="str">
        <x:v>EUR</x:v>
      </x:c>
      <x:c r="L7" s="9" t="n">
        <x:v>129419.68</x:v>
      </x:c>
      <x:c r="M7" s="9" t="n">
        <x:v>7.8538</x:v>
      </x:c>
      <x:c r="N7" s="9" t="n">
        <x:v>2092.78</x:v>
      </x:c>
      <x:c r="O7" s="9" t="n">
        <x:v>127326.9</x:v>
      </x:c>
      <x:c r="P7" t="str">
        <x:v>FX-OP-UDL</x:v>
      </x:c>
    </x:row>
    <x:row r="8">
      <x:c r="A8" t="str">
        <x:v>FW-105449</x:v>
      </x:c>
      <x:c r="B8" t="str">
        <x:v>L_6418_CN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Sell</x:v>
      </x:c>
      <x:c r="H8" t="str">
        <x:v>CNY</x:v>
      </x:c>
      <x:c r="I8" s="9" t="n">
        <x:v>-1600000</x:v>
      </x:c>
      <x:c r="J8" s="14" t="n">
        <x:v>7.71601</x:v>
      </x:c>
      <x:c r="K8" t="str">
        <x:v>EUR</x:v>
      </x:c>
      <x:c r="L8" s="9" t="n">
        <x:v>207361.06</x:v>
      </x:c>
      <x:c r="M8" s="9" t="n">
        <x:v>7.8538</x:v>
      </x:c>
      <x:c r="N8" s="9" t="n">
        <x:v>3638.02</x:v>
      </x:c>
      <x:c r="O8" s="9" t="n">
        <x:v>203723.04</x:v>
      </x:c>
      <x:c r="P8" t="str">
        <x:v>FX-OP-UDL</x:v>
      </x:c>
    </x:row>
    <x:row r="9">
      <x:c r="A9" t="str">
        <x:v>FW-105485</x:v>
      </x:c>
      <x:c r="B9" t="str">
        <x:v>L_6418_CN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Sell</x:v>
      </x:c>
      <x:c r="H9" t="str">
        <x:v>CNY</x:v>
      </x:c>
      <x:c r="I9" s="9" t="n">
        <x:v>-1000000</x:v>
      </x:c>
      <x:c r="J9" s="14" t="n">
        <x:v>7.7089</x:v>
      </x:c>
      <x:c r="K9" t="str">
        <x:v>EUR</x:v>
      </x:c>
      <x:c r="L9" s="9" t="n">
        <x:v>129720.19</x:v>
      </x:c>
      <x:c r="M9" s="9" t="n">
        <x:v>7.8538</x:v>
      </x:c>
      <x:c r="N9" s="9" t="n">
        <x:v>2393.29</x:v>
      </x:c>
      <x:c r="O9" s="9" t="n">
        <x:v>127326.9</x:v>
      </x:c>
      <x:c r="P9" t="str">
        <x:v>FX-OP-UDL</x:v>
      </x:c>
    </x:row>
    <x:row r="10">
      <x:c r="A10" t="str">
        <x:v>FW-105570</x:v>
      </x:c>
      <x:c r="B10" t="str">
        <x:v>L_6418_CN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Sell</x:v>
      </x:c>
      <x:c r="H10" t="str">
        <x:v>CNY</x:v>
      </x:c>
      <x:c r="I10" s="9" t="n">
        <x:v>-600000</x:v>
      </x:c>
      <x:c r="J10" s="14" t="n">
        <x:v>7.70153</x:v>
      </x:c>
      <x:c r="K10" t="str">
        <x:v>EUR</x:v>
      </x:c>
      <x:c r="L10" s="9" t="n">
        <x:v>77906.6</x:v>
      </x:c>
      <x:c r="M10" s="9" t="n">
        <x:v>7.8538</x:v>
      </x:c>
      <x:c r="N10" s="9" t="n">
        <x:v>1510.46</x:v>
      </x:c>
      <x:c r="O10" s="9" t="n">
        <x:v>76396.14</x:v>
      </x:c>
      <x:c r="P10" t="str">
        <x:v>FX-OP-UDL</x:v>
      </x:c>
    </x:row>
    <x:row r="11">
      <x:c r="A11" t="str">
        <x:v>FW-105591</x:v>
      </x:c>
      <x:c r="B11" t="str">
        <x:v>L_6418_CN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Sell</x:v>
      </x:c>
      <x:c r="H11" t="str">
        <x:v>CNY</x:v>
      </x:c>
      <x:c r="I11" s="9" t="n">
        <x:v>-1000000</x:v>
      </x:c>
      <x:c r="J11" s="14" t="n">
        <x:v>7.69593</x:v>
      </x:c>
      <x:c r="K11" t="str">
        <x:v>EUR</x:v>
      </x:c>
      <x:c r="L11" s="9" t="n">
        <x:v>129938.81</x:v>
      </x:c>
      <x:c r="M11" s="9" t="n">
        <x:v>7.8538</x:v>
      </x:c>
      <x:c r="N11" s="9" t="n">
        <x:v>2611.91</x:v>
      </x:c>
      <x:c r="O11" s="9" t="n">
        <x:v>127326.9</x:v>
      </x:c>
      <x:c r="P11" t="str">
        <x:v>FX-OP-UDL</x:v>
      </x:c>
    </x:row>
    <x:row r="12">
      <x:c r="A12" t="str">
        <x:v>FW-105690</x:v>
      </x:c>
      <x:c r="B12" t="str">
        <x:v>L_6418_CN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Sell</x:v>
      </x:c>
      <x:c r="H12" t="str">
        <x:v>CNY</x:v>
      </x:c>
      <x:c r="I12" s="9" t="n">
        <x:v>-800000</x:v>
      </x:c>
      <x:c r="J12" s="14" t="n">
        <x:v>7.6969</x:v>
      </x:c>
      <x:c r="K12" t="str">
        <x:v>EUR</x:v>
      </x:c>
      <x:c r="L12" s="9" t="n">
        <x:v>103937.95</x:v>
      </x:c>
      <x:c r="M12" s="9" t="n">
        <x:v>7.8538</x:v>
      </x:c>
      <x:c r="N12" s="9" t="n">
        <x:v>2076.43</x:v>
      </x:c>
      <x:c r="O12" s="9" t="n">
        <x:v>101861.52</x:v>
      </x:c>
      <x:c r="P12" t="str">
        <x:v>FX-OP-UDL</x:v>
      </x:c>
    </x:row>
    <x:row r="13">
      <x:c r="A13" t="str">
        <x:v>FW-105704</x:v>
      </x:c>
      <x:c r="B13" t="str">
        <x:v>L_6418_CN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Sell</x:v>
      </x:c>
      <x:c r="H13" t="str">
        <x:v>CNY</x:v>
      </x:c>
      <x:c r="I13" s="9" t="n">
        <x:v>-3000000</x:v>
      </x:c>
      <x:c r="J13" s="14" t="n">
        <x:v>7.7628</x:v>
      </x:c>
      <x:c r="K13" t="str">
        <x:v>EUR</x:v>
      </x:c>
      <x:c r="L13" s="9" t="n">
        <x:v>386458.49</x:v>
      </x:c>
      <x:c r="M13" s="9" t="n">
        <x:v>7.8538</x:v>
      </x:c>
      <x:c r="N13" s="9" t="n">
        <x:v>4477.8</x:v>
      </x:c>
      <x:c r="O13" s="9" t="n">
        <x:v>381980.7</x:v>
      </x:c>
      <x:c r="P13" t="str">
        <x:v>FX-OP-UDL</x:v>
      </x:c>
    </x:row>
    <x:row r="14">
      <x:c r="A14" t="str">
        <x:v>FW-105745</x:v>
      </x:c>
      <x:c r="B14" t="str">
        <x:v>L_6418_CN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Sell</x:v>
      </x:c>
      <x:c r="H14" t="str">
        <x:v>CNY</x:v>
      </x:c>
      <x:c r="I14" s="9" t="n">
        <x:v>-500000</x:v>
      </x:c>
      <x:c r="J14" s="14" t="n">
        <x:v>7.7362</x:v>
      </x:c>
      <x:c r="K14" t="str">
        <x:v>EUR</x:v>
      </x:c>
      <x:c r="L14" s="9" t="n">
        <x:v>64631.21</x:v>
      </x:c>
      <x:c r="M14" s="9" t="n">
        <x:v>7.8538</x:v>
      </x:c>
      <x:c r="N14" s="9" t="n">
        <x:v>967.76</x:v>
      </x:c>
      <x:c r="O14" s="9" t="n">
        <x:v>63663.45</x:v>
      </x:c>
      <x:c r="P14" t="str">
        <x:v>FX-OP-UDL</x:v>
      </x:c>
    </x:row>
  </x:sheetData>
  <x:pageMargins left="0.7" right="0.7" top="0.75" bottom="0.75" header="0.3" footer="0.3"/>
</x:worksheet>
</file>