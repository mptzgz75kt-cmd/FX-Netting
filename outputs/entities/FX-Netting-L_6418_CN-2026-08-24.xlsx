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368240f4e14e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ting" sheetId="1" r:id="Rb36d1f31705d417a"/>
    <x:sheet xmlns:r="http://schemas.openxmlformats.org/officeDocument/2006/relationships" name="Details" sheetId="2" r:id="R1c1d4234230643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-#,##0.00;-"/>
    <x:numFmt numFmtId="202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top style="medium">
        <x:color rgb="FF17365D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d1a846a44d4766" /><Relationship Type="http://schemas.openxmlformats.org/officeDocument/2006/relationships/theme" Target="/xl/theme/theme1.xml" Id="Rf6027205886948b8" /><Relationship Type="http://schemas.openxmlformats.org/officeDocument/2006/relationships/sharedStrings" Target="/xl/sharedStrings.xml" Id="R8f138d9dacb84106" /><Relationship Type="http://schemas.openxmlformats.org/officeDocument/2006/relationships/worksheet" Target="/xl/worksheets/sheet1.xml" Id="Rb36d1f31705d417a" /><Relationship Type="http://schemas.openxmlformats.org/officeDocument/2006/relationships/worksheet" Target="/xl/worksheets/sheet2.xml" Id="R1c1d4234230643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20" hidden="0" customWidth="1"/>
  </x:cols>
  <x:sheetData>
    <x:row r="1">
      <x:c r="A1" s="2" t="str">
        <x:v>FX Netting – L_6418_CN</x:v>
      </x:c>
      <x:c r="B1" s="2"/>
      <x:c r="C1" s="2"/>
      <x:c r="D1" s="2"/>
      <x:c r="E1" s="2"/>
      <x:c r="F1" s="2"/>
    </x:row>
    <x:row r="2">
      <x:c r="A2" s="4" t="str">
        <x:v>Summierung von „Diff. in GC“ | Quelle: GitHub Issue #2 | 13 Geschäfte</x:v>
      </x:c>
      <x:c r="B2" s="4"/>
      <x:c r="C2" s="4"/>
      <x:c r="D2" s="4"/>
      <x:c r="E2" s="4"/>
      <x:c r="F2" s="4"/>
    </x:row>
    <x:row r="4">
      <x:c r="A4" s="6" t="str">
        <x:v>Entity</x:v>
      </x:c>
      <x:c r="B4" s="6" t="str">
        <x:v>Counterparty</x:v>
      </x:c>
      <x:c r="C4" s="6" t="str">
        <x:v>Value Date</x:v>
      </x:c>
      <x:c r="D4" s="6" t="str">
        <x:v>Currency</x:v>
      </x:c>
      <x:c r="E4" s="6" t="str">
        <x:v>Deals</x:v>
      </x:c>
      <x:c r="F4" s="6" t="str">
        <x:v>Sum Diff. in GC</x:v>
      </x:c>
    </x:row>
    <x:row r="5">
      <x:c r="A5" s="7" t="str">
        <x:v>L_6418_CN</x:v>
      </x:c>
      <x:c r="B5" s="7" t="str">
        <x:v>L_0100_LU</x:v>
      </x:c>
      <x:c r="C5" s="8" t="n">
        <x:v>46258</x:v>
      </x:c>
      <x:c r="D5" s="7" t="str">
        <x:v>CNY</x:v>
      </x:c>
      <x:c r="E5" s="7" t="n">
        <x:f>COUNTIFS('Details'!$B$2:$B$14,A5,'Details'!$C$2:$C$14,B5,'Details'!$E$2:$E$14,C5,'Details'!$H$2:$H$14,D5)</x:f>
        <x:v>13</x:v>
      </x:c>
      <x:c r="F5" s="9" t="n">
        <x:f>SUMIFS('Details'!$N$2:$N$14,'Details'!$B$2:$B$14,A5,'Details'!$C$2:$C$14,B5,'Details'!$E$2:$E$14,C5,'Details'!$H$2:$H$14,D5)</x:f>
        <x:v>29800.769999999997</x:v>
      </x:c>
    </x:row>
    <x:row r="6">
      <x:c r="A6" s="11" t="str">
        <x:v>Summe Diff. in GC</x:v>
      </x:c>
      <x:c r="B6" s="11"/>
      <x:c r="C6" s="11"/>
      <x:c r="D6" s="11"/>
      <x:c r="E6" s="11"/>
      <x:c r="F6" s="12" t="n">
        <x:f>SUM(F5:F5)</x:f>
        <x:v>29800.769999999997</x:v>
      </x:c>
    </x:row>
  </x:sheetData>
  <x:mergeCells>
    <x:mergeCell ref="A1:F1"/>
    <x:mergeCell ref="A2:F2"/>
    <x:mergeCell ref="A6:E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</x:cols>
  <x:sheetData>
    <x:row r="1">
      <x:c r="A1" s="16" t="str">
        <x:v>Reference</x:v>
      </x:c>
      <x:c r="B1" s="16" t="str">
        <x:v>Entity</x:v>
      </x:c>
      <x:c r="C1" s="16" t="str">
        <x:v>Counterparty</x:v>
      </x:c>
      <x:c r="D1" s="16" t="str">
        <x:v>Int/Ext</x:v>
      </x:c>
      <x:c r="E1" s="16" t="str">
        <x:v>Value Date</x:v>
      </x:c>
      <x:c r="F1" s="16" t="str">
        <x:v>Deal Type</x:v>
      </x:c>
      <x:c r="G1" s="16" t="str">
        <x:v>Buy/Sell</x:v>
      </x:c>
      <x:c r="H1" s="16" t="str">
        <x:v>Currency</x:v>
      </x:c>
      <x:c r="I1" s="16" t="str">
        <x:v>Amount</x:v>
      </x:c>
      <x:c r="J1" s="16" t="str">
        <x:v>Rate</x:v>
      </x:c>
      <x:c r="K1" s="16" t="str">
        <x:v>Equivalent Currency</x:v>
      </x:c>
      <x:c r="L1" s="16" t="str">
        <x:v>Equivalent Amount EUR</x:v>
      </x:c>
      <x:c r="M1" s="16" t="str">
        <x:v>Mark-to-market</x:v>
      </x:c>
      <x:c r="N1" s="16" t="str">
        <x:v>Diff. in GC</x:v>
      </x:c>
      <x:c r="O1" s="16" t="str">
        <x:v>Amount (MTM) EUR</x:v>
      </x:c>
      <x:c r="P1" s="16" t="str">
        <x:v>Portfolio</x:v>
      </x:c>
    </x:row>
    <x:row r="2">
      <x:c r="A2" t="str">
        <x:v>FW-105094</x:v>
      </x:c>
      <x:c r="B2" t="str">
        <x:v>L_6418_CN</x:v>
      </x:c>
      <x:c r="C2" t="str">
        <x:v>L_0100_LU</x:v>
      </x:c>
      <x:c r="D2" t="str">
        <x:v>Internal</x:v>
      </x:c>
      <x:c r="E2" s="8" t="n">
        <x:v>46258</x:v>
      </x:c>
      <x:c r="F2" t="str">
        <x:v>Forward</x:v>
      </x:c>
      <x:c r="G2" t="str">
        <x:v>Sell</x:v>
      </x:c>
      <x:c r="H2" t="str">
        <x:v>CNY</x:v>
      </x:c>
      <x:c r="I2" s="9" t="n">
        <x:v>-500000</x:v>
      </x:c>
      <x:c r="J2" s="17" t="n">
        <x:v>7.7235</x:v>
      </x:c>
      <x:c r="K2" t="str">
        <x:v>EUR</x:v>
      </x:c>
      <x:c r="L2" s="9" t="n">
        <x:v>64737.49</x:v>
      </x:c>
      <x:c r="M2" s="9" t="n">
        <x:v>7.8538</x:v>
      </x:c>
      <x:c r="N2" s="9" t="n">
        <x:v>1074.04</x:v>
      </x:c>
      <x:c r="O2" s="9" t="n">
        <x:v>63663.45</x:v>
      </x:c>
      <x:c r="P2" t="str">
        <x:v>FX-OP-UDL</x:v>
      </x:c>
    </x:row>
    <x:row r="3">
      <x:c r="A3" t="str">
        <x:v>FW-105154</x:v>
      </x:c>
      <x:c r="B3" t="str">
        <x:v>L_6418_CN</x:v>
      </x:c>
      <x:c r="C3" t="str">
        <x:v>L_0100_LU</x:v>
      </x:c>
      <x:c r="D3" t="str">
        <x:v>Internal</x:v>
      </x:c>
      <x:c r="E3" s="8" t="n">
        <x:v>46258</x:v>
      </x:c>
      <x:c r="F3" t="str">
        <x:v>Forward</x:v>
      </x:c>
      <x:c r="G3" t="str">
        <x:v>Sell</x:v>
      </x:c>
      <x:c r="H3" t="str">
        <x:v>CNY</x:v>
      </x:c>
      <x:c r="I3" s="9" t="n">
        <x:v>-600000</x:v>
      </x:c>
      <x:c r="J3" s="17" t="n">
        <x:v>7.7411</x:v>
      </x:c>
      <x:c r="K3" t="str">
        <x:v>EUR</x:v>
      </x:c>
      <x:c r="L3" s="9" t="n">
        <x:v>77508.36</x:v>
      </x:c>
      <x:c r="M3" s="9" t="n">
        <x:v>7.8538</x:v>
      </x:c>
      <x:c r="N3" s="9" t="n">
        <x:v>1112.22</x:v>
      </x:c>
      <x:c r="O3" s="9" t="n">
        <x:v>76396.14</x:v>
      </x:c>
      <x:c r="P3" t="str">
        <x:v>FX-OP-UDL</x:v>
      </x:c>
    </x:row>
    <x:row r="4">
      <x:c r="A4" t="str">
        <x:v>FW-105211</x:v>
      </x:c>
      <x:c r="B4" t="str">
        <x:v>L_6418_CN</x:v>
      </x:c>
      <x:c r="C4" t="str">
        <x:v>L_0100_LU</x:v>
      </x:c>
      <x:c r="D4" t="str">
        <x:v>Internal</x:v>
      </x:c>
      <x:c r="E4" s="8" t="n">
        <x:v>46258</x:v>
      </x:c>
      <x:c r="F4" t="str">
        <x:v>Forward</x:v>
      </x:c>
      <x:c r="G4" t="str">
        <x:v>Sell</x:v>
      </x:c>
      <x:c r="H4" t="str">
        <x:v>CNY</x:v>
      </x:c>
      <x:c r="I4" s="9" t="n">
        <x:v>-800000</x:v>
      </x:c>
      <x:c r="J4" s="17" t="n">
        <x:v>7.755</x:v>
      </x:c>
      <x:c r="K4" t="str">
        <x:v>EUR</x:v>
      </x:c>
      <x:c r="L4" s="9" t="n">
        <x:v>103159.25</x:v>
      </x:c>
      <x:c r="M4" s="9" t="n">
        <x:v>7.8538</x:v>
      </x:c>
      <x:c r="N4" s="9" t="n">
        <x:v>1297.73</x:v>
      </x:c>
      <x:c r="O4" s="9" t="n">
        <x:v>101861.52</x:v>
      </x:c>
      <x:c r="P4" t="str">
        <x:v>FX-OP-UDL</x:v>
      </x:c>
    </x:row>
    <x:row r="5">
      <x:c r="A5" t="str">
        <x:v>FW-105315</x:v>
      </x:c>
      <x:c r="B5" t="str">
        <x:v>L_6418_CN</x:v>
      </x:c>
      <x:c r="C5" t="str">
        <x:v>L_0100_LU</x:v>
      </x:c>
      <x:c r="D5" t="str">
        <x:v>Internal</x:v>
      </x:c>
      <x:c r="E5" s="8" t="n">
        <x:v>46258</x:v>
      </x:c>
      <x:c r="F5" t="str">
        <x:v>Forward</x:v>
      </x:c>
      <x:c r="G5" t="str">
        <x:v>Sell</x:v>
      </x:c>
      <x:c r="H5" t="str">
        <x:v>CNY</x:v>
      </x:c>
      <x:c r="I5" s="9" t="n">
        <x:v>-1800000</x:v>
      </x:c>
      <x:c r="J5" s="17" t="n">
        <x:v>7.70405</x:v>
      </x:c>
      <x:c r="K5" t="str">
        <x:v>EUR</x:v>
      </x:c>
      <x:c r="L5" s="9" t="n">
        <x:v>233643.34</x:v>
      </x:c>
      <x:c r="M5" s="9" t="n">
        <x:v>7.8538</x:v>
      </x:c>
      <x:c r="N5" s="9" t="n">
        <x:v>4454.93</x:v>
      </x:c>
      <x:c r="O5" s="9" t="n">
        <x:v>229188.42</x:v>
      </x:c>
      <x:c r="P5" t="str">
        <x:v>FX-OP-UDL</x:v>
      </x:c>
    </x:row>
    <x:row r="6">
      <x:c r="A6" t="str">
        <x:v>FW-105348</x:v>
      </x:c>
      <x:c r="B6" t="str">
        <x:v>L_6418_CN</x:v>
      </x:c>
      <x:c r="C6" t="str">
        <x:v>L_0100_LU</x:v>
      </x:c>
      <x:c r="D6" t="str">
        <x:v>Internal</x:v>
      </x:c>
      <x:c r="E6" s="8" t="n">
        <x:v>46258</x:v>
      </x:c>
      <x:c r="F6" t="str">
        <x:v>Forward</x:v>
      </x:c>
      <x:c r="G6" t="str">
        <x:v>Sell</x:v>
      </x:c>
      <x:c r="H6" t="str">
        <x:v>CNY</x:v>
      </x:c>
      <x:c r="I6" s="9" t="n">
        <x:v>-1200000</x:v>
      </x:c>
      <x:c r="J6" s="17" t="n">
        <x:v>7.74765</x:v>
      </x:c>
      <x:c r="K6" t="str">
        <x:v>EUR</x:v>
      </x:c>
      <x:c r="L6" s="9" t="n">
        <x:v>154885.68</x:v>
      </x:c>
      <x:c r="M6" s="9" t="n">
        <x:v>7.8538</x:v>
      </x:c>
      <x:c r="N6" s="9" t="n">
        <x:v>2093.4</x:v>
      </x:c>
      <x:c r="O6" s="9" t="n">
        <x:v>152792.28</x:v>
      </x:c>
      <x:c r="P6" t="str">
        <x:v>FX-OP-UDL</x:v>
      </x:c>
    </x:row>
    <x:row r="7">
      <x:c r="A7" t="str">
        <x:v>FW-105380</x:v>
      </x:c>
      <x:c r="B7" t="str">
        <x:v>L_6418_CN</x:v>
      </x:c>
      <x:c r="C7" t="str">
        <x:v>L_0100_LU</x:v>
      </x:c>
      <x:c r="D7" t="str">
        <x:v>Internal</x:v>
      </x:c>
      <x:c r="E7" s="8" t="n">
        <x:v>46258</x:v>
      </x:c>
      <x:c r="F7" t="str">
        <x:v>Forward</x:v>
      </x:c>
      <x:c r="G7" t="str">
        <x:v>Sell</x:v>
      </x:c>
      <x:c r="H7" t="str">
        <x:v>CNY</x:v>
      </x:c>
      <x:c r="I7" s="9" t="n">
        <x:v>-1000000</x:v>
      </x:c>
      <x:c r="J7" s="17" t="n">
        <x:v>7.7268</x:v>
      </x:c>
      <x:c r="K7" t="str">
        <x:v>EUR</x:v>
      </x:c>
      <x:c r="L7" s="9" t="n">
        <x:v>129419.68</x:v>
      </x:c>
      <x:c r="M7" s="9" t="n">
        <x:v>7.8538</x:v>
      </x:c>
      <x:c r="N7" s="9" t="n">
        <x:v>2092.78</x:v>
      </x:c>
      <x:c r="O7" s="9" t="n">
        <x:v>127326.9</x:v>
      </x:c>
      <x:c r="P7" t="str">
        <x:v>FX-OP-UDL</x:v>
      </x:c>
    </x:row>
    <x:row r="8">
      <x:c r="A8" t="str">
        <x:v>FW-105449</x:v>
      </x:c>
      <x:c r="B8" t="str">
        <x:v>L_6418_CN</x:v>
      </x:c>
      <x:c r="C8" t="str">
        <x:v>L_0100_LU</x:v>
      </x:c>
      <x:c r="D8" t="str">
        <x:v>Internal</x:v>
      </x:c>
      <x:c r="E8" s="8" t="n">
        <x:v>46258</x:v>
      </x:c>
      <x:c r="F8" t="str">
        <x:v>Forward</x:v>
      </x:c>
      <x:c r="G8" t="str">
        <x:v>Sell</x:v>
      </x:c>
      <x:c r="H8" t="str">
        <x:v>CNY</x:v>
      </x:c>
      <x:c r="I8" s="9" t="n">
        <x:v>-1600000</x:v>
      </x:c>
      <x:c r="J8" s="17" t="n">
        <x:v>7.71601</x:v>
      </x:c>
      <x:c r="K8" t="str">
        <x:v>EUR</x:v>
      </x:c>
      <x:c r="L8" s="9" t="n">
        <x:v>207361.06</x:v>
      </x:c>
      <x:c r="M8" s="9" t="n">
        <x:v>7.8538</x:v>
      </x:c>
      <x:c r="N8" s="9" t="n">
        <x:v>3638.02</x:v>
      </x:c>
      <x:c r="O8" s="9" t="n">
        <x:v>203723.04</x:v>
      </x:c>
      <x:c r="P8" t="str">
        <x:v>FX-OP-UDL</x:v>
      </x:c>
    </x:row>
    <x:row r="9">
      <x:c r="A9" t="str">
        <x:v>FW-105485</x:v>
      </x:c>
      <x:c r="B9" t="str">
        <x:v>L_6418_CN</x:v>
      </x:c>
      <x:c r="C9" t="str">
        <x:v>L_0100_LU</x:v>
      </x:c>
      <x:c r="D9" t="str">
        <x:v>Internal</x:v>
      </x:c>
      <x:c r="E9" s="8" t="n">
        <x:v>46258</x:v>
      </x:c>
      <x:c r="F9" t="str">
        <x:v>Forward</x:v>
      </x:c>
      <x:c r="G9" t="str">
        <x:v>Sell</x:v>
      </x:c>
      <x:c r="H9" t="str">
        <x:v>CNY</x:v>
      </x:c>
      <x:c r="I9" s="9" t="n">
        <x:v>-1000000</x:v>
      </x:c>
      <x:c r="J9" s="17" t="n">
        <x:v>7.7089</x:v>
      </x:c>
      <x:c r="K9" t="str">
        <x:v>EUR</x:v>
      </x:c>
      <x:c r="L9" s="9" t="n">
        <x:v>129720.19</x:v>
      </x:c>
      <x:c r="M9" s="9" t="n">
        <x:v>7.8538</x:v>
      </x:c>
      <x:c r="N9" s="9" t="n">
        <x:v>2393.29</x:v>
      </x:c>
      <x:c r="O9" s="9" t="n">
        <x:v>127326.9</x:v>
      </x:c>
      <x:c r="P9" t="str">
        <x:v>FX-OP-UDL</x:v>
      </x:c>
    </x:row>
    <x:row r="10">
      <x:c r="A10" t="str">
        <x:v>FW-105570</x:v>
      </x:c>
      <x:c r="B10" t="str">
        <x:v>L_6418_CN</x:v>
      </x:c>
      <x:c r="C10" t="str">
        <x:v>L_0100_LU</x:v>
      </x:c>
      <x:c r="D10" t="str">
        <x:v>Internal</x:v>
      </x:c>
      <x:c r="E10" s="8" t="n">
        <x:v>46258</x:v>
      </x:c>
      <x:c r="F10" t="str">
        <x:v>Forward</x:v>
      </x:c>
      <x:c r="G10" t="str">
        <x:v>Sell</x:v>
      </x:c>
      <x:c r="H10" t="str">
        <x:v>CNY</x:v>
      </x:c>
      <x:c r="I10" s="9" t="n">
        <x:v>-600000</x:v>
      </x:c>
      <x:c r="J10" s="17" t="n">
        <x:v>7.70153</x:v>
      </x:c>
      <x:c r="K10" t="str">
        <x:v>EUR</x:v>
      </x:c>
      <x:c r="L10" s="9" t="n">
        <x:v>77906.6</x:v>
      </x:c>
      <x:c r="M10" s="9" t="n">
        <x:v>7.8538</x:v>
      </x:c>
      <x:c r="N10" s="9" t="n">
        <x:v>1510.46</x:v>
      </x:c>
      <x:c r="O10" s="9" t="n">
        <x:v>76396.14</x:v>
      </x:c>
      <x:c r="P10" t="str">
        <x:v>FX-OP-UDL</x:v>
      </x:c>
    </x:row>
    <x:row r="11">
      <x:c r="A11" t="str">
        <x:v>FW-105591</x:v>
      </x:c>
      <x:c r="B11" t="str">
        <x:v>L_6418_CN</x:v>
      </x:c>
      <x:c r="C11" t="str">
        <x:v>L_0100_LU</x:v>
      </x:c>
      <x:c r="D11" t="str">
        <x:v>Internal</x:v>
      </x:c>
      <x:c r="E11" s="8" t="n">
        <x:v>46258</x:v>
      </x:c>
      <x:c r="F11" t="str">
        <x:v>Forward</x:v>
      </x:c>
      <x:c r="G11" t="str">
        <x:v>Sell</x:v>
      </x:c>
      <x:c r="H11" t="str">
        <x:v>CNY</x:v>
      </x:c>
      <x:c r="I11" s="9" t="n">
        <x:v>-1000000</x:v>
      </x:c>
      <x:c r="J11" s="17" t="n">
        <x:v>7.69593</x:v>
      </x:c>
      <x:c r="K11" t="str">
        <x:v>EUR</x:v>
      </x:c>
      <x:c r="L11" s="9" t="n">
        <x:v>129938.81</x:v>
      </x:c>
      <x:c r="M11" s="9" t="n">
        <x:v>7.8538</x:v>
      </x:c>
      <x:c r="N11" s="9" t="n">
        <x:v>2611.91</x:v>
      </x:c>
      <x:c r="O11" s="9" t="n">
        <x:v>127326.9</x:v>
      </x:c>
      <x:c r="P11" t="str">
        <x:v>FX-OP-UDL</x:v>
      </x:c>
    </x:row>
    <x:row r="12">
      <x:c r="A12" t="str">
        <x:v>FW-105690</x:v>
      </x:c>
      <x:c r="B12" t="str">
        <x:v>L_6418_CN</x:v>
      </x:c>
      <x:c r="C12" t="str">
        <x:v>L_0100_LU</x:v>
      </x:c>
      <x:c r="D12" t="str">
        <x:v>Internal</x:v>
      </x:c>
      <x:c r="E12" s="8" t="n">
        <x:v>46258</x:v>
      </x:c>
      <x:c r="F12" t="str">
        <x:v>Forward</x:v>
      </x:c>
      <x:c r="G12" t="str">
        <x:v>Sell</x:v>
      </x:c>
      <x:c r="H12" t="str">
        <x:v>CNY</x:v>
      </x:c>
      <x:c r="I12" s="9" t="n">
        <x:v>-800000</x:v>
      </x:c>
      <x:c r="J12" s="17" t="n">
        <x:v>7.6969</x:v>
      </x:c>
      <x:c r="K12" t="str">
        <x:v>EUR</x:v>
      </x:c>
      <x:c r="L12" s="9" t="n">
        <x:v>103937.95</x:v>
      </x:c>
      <x:c r="M12" s="9" t="n">
        <x:v>7.8538</x:v>
      </x:c>
      <x:c r="N12" s="9" t="n">
        <x:v>2076.43</x:v>
      </x:c>
      <x:c r="O12" s="9" t="n">
        <x:v>101861.52</x:v>
      </x:c>
      <x:c r="P12" t="str">
        <x:v>FX-OP-UDL</x:v>
      </x:c>
    </x:row>
    <x:row r="13">
      <x:c r="A13" t="str">
        <x:v>FW-105704</x:v>
      </x:c>
      <x:c r="B13" t="str">
        <x:v>L_6418_CN</x:v>
      </x:c>
      <x:c r="C13" t="str">
        <x:v>L_0100_LU</x:v>
      </x:c>
      <x:c r="D13" t="str">
        <x:v>Internal</x:v>
      </x:c>
      <x:c r="E13" s="8" t="n">
        <x:v>46258</x:v>
      </x:c>
      <x:c r="F13" t="str">
        <x:v>Forward</x:v>
      </x:c>
      <x:c r="G13" t="str">
        <x:v>Sell</x:v>
      </x:c>
      <x:c r="H13" t="str">
        <x:v>CNY</x:v>
      </x:c>
      <x:c r="I13" s="9" t="n">
        <x:v>-3000000</x:v>
      </x:c>
      <x:c r="J13" s="17" t="n">
        <x:v>7.7628</x:v>
      </x:c>
      <x:c r="K13" t="str">
        <x:v>EUR</x:v>
      </x:c>
      <x:c r="L13" s="9" t="n">
        <x:v>386458.49</x:v>
      </x:c>
      <x:c r="M13" s="9" t="n">
        <x:v>7.8538</x:v>
      </x:c>
      <x:c r="N13" s="9" t="n">
        <x:v>4477.8</x:v>
      </x:c>
      <x:c r="O13" s="9" t="n">
        <x:v>381980.7</x:v>
      </x:c>
      <x:c r="P13" t="str">
        <x:v>FX-OP-UDL</x:v>
      </x:c>
    </x:row>
    <x:row r="14">
      <x:c r="A14" t="str">
        <x:v>FW-105745</x:v>
      </x:c>
      <x:c r="B14" t="str">
        <x:v>L_6418_CN</x:v>
      </x:c>
      <x:c r="C14" t="str">
        <x:v>L_0100_LU</x:v>
      </x:c>
      <x:c r="D14" t="str">
        <x:v>Internal</x:v>
      </x:c>
      <x:c r="E14" s="8" t="n">
        <x:v>46258</x:v>
      </x:c>
      <x:c r="F14" t="str">
        <x:v>Forward</x:v>
      </x:c>
      <x:c r="G14" t="str">
        <x:v>Sell</x:v>
      </x:c>
      <x:c r="H14" t="str">
        <x:v>CNY</x:v>
      </x:c>
      <x:c r="I14" s="9" t="n">
        <x:v>-500000</x:v>
      </x:c>
      <x:c r="J14" s="17" t="n">
        <x:v>7.7362</x:v>
      </x:c>
      <x:c r="K14" t="str">
        <x:v>EUR</x:v>
      </x:c>
      <x:c r="L14" s="9" t="n">
        <x:v>64631.21</x:v>
      </x:c>
      <x:c r="M14" s="9" t="n">
        <x:v>7.8538</x:v>
      </x:c>
      <x:c r="N14" s="9" t="n">
        <x:v>967.76</x:v>
      </x:c>
      <x:c r="O14" s="9" t="n">
        <x:v>63663.45</x:v>
      </x:c>
      <x:c r="P14" t="str">
        <x:v>FX-OP-UDL</x:v>
      </x:c>
    </x:row>
  </x:sheetData>
  <x:pageMargins left="0.7" right="0.7" top="0.75" bottom="0.75" header="0.3" footer="0.3"/>
</x:worksheet>
</file>