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c4755a213e471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etting" sheetId="1" r:id="R00751257f9aa4b4c"/>
    <x:sheet xmlns:r="http://schemas.openxmlformats.org/officeDocument/2006/relationships" name="Details" sheetId="2" r:id="R9b5ecb42e12a4d7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#0.00;[Red](#,##0.00);-"/>
    <x:numFmt numFmtId="202" formatCode="0.0000"/>
  </x:numFmts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</x:fills>
  <x:borders count="1">
    <x:border/>
  </x:borders>
  <x:cellStyleXfs count="1">
    <x:xf numFmtId="0" fontId="0" fillId="0" borderId="0"/>
  </x:cellStyleXfs>
  <x:cellXfs count="1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202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f7c703dfc1a4008" /><Relationship Type="http://schemas.openxmlformats.org/officeDocument/2006/relationships/theme" Target="/xl/theme/theme1.xml" Id="R7110d455dc874d2a" /><Relationship Type="http://schemas.openxmlformats.org/officeDocument/2006/relationships/sharedStrings" Target="/xl/sharedStrings.xml" Id="Rc0b42919a2614b28" /><Relationship Type="http://schemas.openxmlformats.org/officeDocument/2006/relationships/worksheet" Target="/xl/worksheets/sheet1.xml" Id="R00751257f9aa4b4c" /><Relationship Type="http://schemas.openxmlformats.org/officeDocument/2006/relationships/worksheet" Target="/xl/worksheets/sheet2.xml" Id="R9b5ecb42e12a4d7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8" hidden="0" customWidth="1"/>
    <x:col min="3" max="3" width="14" hidden="0" customWidth="1"/>
    <x:col min="4" max="4" width="10" hidden="0" customWidth="1"/>
    <x:col min="5" max="5" width="10" hidden="0" customWidth="1"/>
    <x:col min="6" max="6" width="20" hidden="0" customWidth="1"/>
  </x:cols>
  <x:sheetData>
    <x:row r="1">
      <x:c r="A1" s="2" t="str">
        <x:v>FX Netting – L_6129_DE</x:v>
      </x:c>
      <x:c r="B1" s="2"/>
      <x:c r="C1" s="2"/>
      <x:c r="D1" s="2"/>
      <x:c r="E1" s="2"/>
      <x:c r="F1" s="2"/>
    </x:row>
    <x:row r="2">
      <x:c r="A2" s="4" t="str">
        <x:v>Summierung von „Diff. in GC“ | Quelle: GitHub Issue #2 | 78 Geschäfte</x:v>
      </x:c>
      <x:c r="B2" s="4"/>
      <x:c r="C2" s="4"/>
      <x:c r="D2" s="4"/>
      <x:c r="E2" s="4"/>
      <x:c r="F2" s="4"/>
    </x:row>
    <x:row r="4">
      <x:c r="A4" s="6" t="str">
        <x:v>Entity</x:v>
      </x:c>
      <x:c r="B4" s="6" t="str">
        <x:v>Counterparty</x:v>
      </x:c>
      <x:c r="C4" s="6" t="str">
        <x:v>Value Date</x:v>
      </x:c>
      <x:c r="D4" s="6" t="str">
        <x:v>Currency</x:v>
      </x:c>
      <x:c r="E4" s="6" t="str">
        <x:v>Deals</x:v>
      </x:c>
      <x:c r="F4" s="6" t="str">
        <x:v>Sum Diff. in GC</x:v>
      </x:c>
    </x:row>
    <x:row r="5">
      <x:c r="A5" s="7" t="str">
        <x:v>L_6129_DE</x:v>
      </x:c>
      <x:c r="B5" s="7" t="str">
        <x:v>L_0100_LU</x:v>
      </x:c>
      <x:c r="C5" s="8" t="n">
        <x:v>46258</x:v>
      </x:c>
      <x:c r="D5" s="7" t="str">
        <x:v>AUD</x:v>
      </x:c>
      <x:c r="E5" s="7" t="n">
        <x:f>COUNTIFS('Details'!$B$2:$B$79,A5,'Details'!$C$2:$C$79,B5,'Details'!$E$2:$E$79,C5,'Details'!$H$2:$H$79,D5)</x:f>
        <x:v>1</x:v>
      </x:c>
      <x:c r="F5" s="9" t="n">
        <x:f>SUMIFS('Details'!$N$2:$N$79,'Details'!$B$2:$B$79,A5,'Details'!$C$2:$C$79,B5,'Details'!$E$2:$E$79,C5,'Details'!$H$2:$H$79,D5)</x:f>
        <x:v>401.43</x:v>
      </x:c>
    </x:row>
    <x:row r="6">
      <x:c r="A6" s="7" t="str">
        <x:v>L_6129_DE</x:v>
      </x:c>
      <x:c r="B6" s="7" t="str">
        <x:v>L_0100_LU</x:v>
      </x:c>
      <x:c r="C6" s="8" t="n">
        <x:v>46258</x:v>
      </x:c>
      <x:c r="D6" s="7" t="str">
        <x:v>CNY</x:v>
      </x:c>
      <x:c r="E6" s="7" t="n">
        <x:f>COUNTIFS('Details'!$B$2:$B$79,A6,'Details'!$C$2:$C$79,B6,'Details'!$E$2:$E$79,C6,'Details'!$H$2:$H$79,D6)</x:f>
        <x:v>22</x:v>
      </x:c>
      <x:c r="F6" s="9" t="n">
        <x:f>SUMIFS('Details'!$N$2:$N$79,'Details'!$B$2:$B$79,A6,'Details'!$C$2:$C$79,B6,'Details'!$E$2:$E$79,C6,'Details'!$H$2:$H$79,D6)</x:f>
        <x:v>-86439.01999999997</x:v>
      </x:c>
    </x:row>
    <x:row r="7">
      <x:c r="A7" s="7" t="str">
        <x:v>L_6129_DE</x:v>
      </x:c>
      <x:c r="B7" s="7" t="str">
        <x:v>L_0100_LU</x:v>
      </x:c>
      <x:c r="C7" s="8" t="n">
        <x:v>46258</x:v>
      </x:c>
      <x:c r="D7" s="7" t="str">
        <x:v>CZK</x:v>
      </x:c>
      <x:c r="E7" s="7" t="n">
        <x:f>COUNTIFS('Details'!$B$2:$B$79,A7,'Details'!$C$2:$C$79,B7,'Details'!$E$2:$E$79,C7,'Details'!$H$2:$H$79,D7)</x:f>
        <x:v>1</x:v>
      </x:c>
      <x:c r="F7" s="9" t="n">
        <x:f>SUMIFS('Details'!$N$2:$N$79,'Details'!$B$2:$B$79,A7,'Details'!$C$2:$C$79,B7,'Details'!$E$2:$E$79,C7,'Details'!$H$2:$H$79,D7)</x:f>
        <x:v>-317.62</x:v>
      </x:c>
    </x:row>
    <x:row r="8">
      <x:c r="A8" s="7" t="str">
        <x:v>L_6129_DE</x:v>
      </x:c>
      <x:c r="B8" s="7" t="str">
        <x:v>L_0100_LU</x:v>
      </x:c>
      <x:c r="C8" s="8" t="n">
        <x:v>46258</x:v>
      </x:c>
      <x:c r="D8" s="7" t="str">
        <x:v>GBP</x:v>
      </x:c>
      <x:c r="E8" s="7" t="n">
        <x:f>COUNTIFS('Details'!$B$2:$B$79,A8,'Details'!$C$2:$C$79,B8,'Details'!$E$2:$E$79,C8,'Details'!$H$2:$H$79,D8)</x:f>
        <x:v>10</x:v>
      </x:c>
      <x:c r="F8" s="9" t="n">
        <x:f>SUMIFS('Details'!$N$2:$N$79,'Details'!$B$2:$B$79,A8,'Details'!$C$2:$C$79,B8,'Details'!$E$2:$E$79,C8,'Details'!$H$2:$H$79,D8)</x:f>
        <x:v>2278.0400000000004</x:v>
      </x:c>
    </x:row>
    <x:row r="9">
      <x:c r="A9" s="7" t="str">
        <x:v>L_6129_DE</x:v>
      </x:c>
      <x:c r="B9" s="7" t="str">
        <x:v>L_0100_LU</x:v>
      </x:c>
      <x:c r="C9" s="8" t="n">
        <x:v>46258</x:v>
      </x:c>
      <x:c r="D9" s="7" t="str">
        <x:v>HKD</x:v>
      </x:c>
      <x:c r="E9" s="7" t="n">
        <x:f>COUNTIFS('Details'!$B$2:$B$79,A9,'Details'!$C$2:$C$79,B9,'Details'!$E$2:$E$79,C9,'Details'!$H$2:$H$79,D9)</x:f>
        <x:v>14</x:v>
      </x:c>
      <x:c r="F9" s="9" t="n">
        <x:f>SUMIFS('Details'!$N$2:$N$79,'Details'!$B$2:$B$79,A9,'Details'!$C$2:$C$79,B9,'Details'!$E$2:$E$79,C9,'Details'!$H$2:$H$79,D9)</x:f>
        <x:v>-48500.14000000001</x:v>
      </x:c>
    </x:row>
    <x:row r="10">
      <x:c r="A10" s="7" t="str">
        <x:v>L_6129_DE</x:v>
      </x:c>
      <x:c r="B10" s="7" t="str">
        <x:v>L_0100_LU</x:v>
      </x:c>
      <x:c r="C10" s="8" t="n">
        <x:v>46258</x:v>
      </x:c>
      <x:c r="D10" s="7" t="str">
        <x:v>INR</x:v>
      </x:c>
      <x:c r="E10" s="7" t="n">
        <x:f>COUNTIFS('Details'!$B$2:$B$79,A10,'Details'!$C$2:$C$79,B10,'Details'!$E$2:$E$79,C10,'Details'!$H$2:$H$79,D10)</x:f>
        <x:v>6</x:v>
      </x:c>
      <x:c r="F10" s="9" t="n">
        <x:f>SUMIFS('Details'!$N$2:$N$79,'Details'!$B$2:$B$79,A10,'Details'!$C$2:$C$79,B10,'Details'!$E$2:$E$79,C10,'Details'!$H$2:$H$79,D10)</x:f>
        <x:v>-15687.02</x:v>
      </x:c>
    </x:row>
    <x:row r="11">
      <x:c r="A11" s="7" t="str">
        <x:v>L_6129_DE</x:v>
      </x:c>
      <x:c r="B11" s="7" t="str">
        <x:v>L_0100_LU</x:v>
      </x:c>
      <x:c r="C11" s="8" t="n">
        <x:v>46258</x:v>
      </x:c>
      <x:c r="D11" s="7" t="str">
        <x:v>KRW</x:v>
      </x:c>
      <x:c r="E11" s="7" t="n">
        <x:f>COUNTIFS('Details'!$B$2:$B$79,A11,'Details'!$C$2:$C$79,B11,'Details'!$E$2:$E$79,C11,'Details'!$H$2:$H$79,D11)</x:f>
        <x:v>1</x:v>
      </x:c>
      <x:c r="F11" s="9" t="n">
        <x:f>SUMIFS('Details'!$N$2:$N$79,'Details'!$B$2:$B$79,A11,'Details'!$C$2:$C$79,B11,'Details'!$E$2:$E$79,C11,'Details'!$H$2:$H$79,D11)</x:f>
        <x:v>1235.33</x:v>
      </x:c>
    </x:row>
    <x:row r="12">
      <x:c r="A12" s="7" t="str">
        <x:v>L_6129_DE</x:v>
      </x:c>
      <x:c r="B12" s="7" t="str">
        <x:v>L_0100_LU</x:v>
      </x:c>
      <x:c r="C12" s="8" t="n">
        <x:v>46258</x:v>
      </x:c>
      <x:c r="D12" s="7" t="str">
        <x:v>PLN</x:v>
      </x:c>
      <x:c r="E12" s="7" t="n">
        <x:f>COUNTIFS('Details'!$B$2:$B$79,A12,'Details'!$C$2:$C$79,B12,'Details'!$E$2:$E$79,C12,'Details'!$H$2:$H$79,D12)</x:f>
        <x:v>1</x:v>
      </x:c>
      <x:c r="F12" s="9" t="n">
        <x:f>SUMIFS('Details'!$N$2:$N$79,'Details'!$B$2:$B$79,A12,'Details'!$C$2:$C$79,B12,'Details'!$E$2:$E$79,C12,'Details'!$H$2:$H$79,D12)</x:f>
        <x:v>-206.49</x:v>
      </x:c>
    </x:row>
    <x:row r="13">
      <x:c r="A13" s="7" t="str">
        <x:v>L_6129_DE</x:v>
      </x:c>
      <x:c r="B13" s="7" t="str">
        <x:v>L_0100_LU</x:v>
      </x:c>
      <x:c r="C13" s="8" t="n">
        <x:v>46258</x:v>
      </x:c>
      <x:c r="D13" s="7" t="str">
        <x:v>SAR</x:v>
      </x:c>
      <x:c r="E13" s="7" t="n">
        <x:f>COUNTIFS('Details'!$B$2:$B$79,A13,'Details'!$C$2:$C$79,B13,'Details'!$E$2:$E$79,C13,'Details'!$H$2:$H$79,D13)</x:f>
        <x:v>1</x:v>
      </x:c>
      <x:c r="F13" s="9" t="n">
        <x:f>SUMIFS('Details'!$N$2:$N$79,'Details'!$B$2:$B$79,A13,'Details'!$C$2:$C$79,B13,'Details'!$E$2:$E$79,C13,'Details'!$H$2:$H$79,D13)</x:f>
        <x:v>-3638.44</x:v>
      </x:c>
    </x:row>
    <x:row r="14">
      <x:c r="A14" s="7" t="str">
        <x:v>L_6129_DE</x:v>
      </x:c>
      <x:c r="B14" s="7" t="str">
        <x:v>L_0100_LU</x:v>
      </x:c>
      <x:c r="C14" s="8" t="n">
        <x:v>46258</x:v>
      </x:c>
      <x:c r="D14" s="7" t="str">
        <x:v>SGD</x:v>
      </x:c>
      <x:c r="E14" s="7" t="n">
        <x:f>COUNTIFS('Details'!$B$2:$B$79,A14,'Details'!$C$2:$C$79,B14,'Details'!$E$2:$E$79,C14,'Details'!$H$2:$H$79,D14)</x:f>
        <x:v>3</x:v>
      </x:c>
      <x:c r="F14" s="9" t="n">
        <x:f>SUMIFS('Details'!$N$2:$N$79,'Details'!$B$2:$B$79,A14,'Details'!$C$2:$C$79,B14,'Details'!$E$2:$E$79,C14,'Details'!$H$2:$H$79,D14)</x:f>
        <x:v>1479.19</x:v>
      </x:c>
    </x:row>
    <x:row r="15">
      <x:c r="A15" s="7" t="str">
        <x:v>L_6129_DE</x:v>
      </x:c>
      <x:c r="B15" s="7" t="str">
        <x:v>L_0100_LU</x:v>
      </x:c>
      <x:c r="C15" s="8" t="n">
        <x:v>46258</x:v>
      </x:c>
      <x:c r="D15" s="7" t="str">
        <x:v>THB</x:v>
      </x:c>
      <x:c r="E15" s="7" t="n">
        <x:f>COUNTIFS('Details'!$B$2:$B$79,A15,'Details'!$C$2:$C$79,B15,'Details'!$E$2:$E$79,C15,'Details'!$H$2:$H$79,D15)</x:f>
        <x:v>4</x:v>
      </x:c>
      <x:c r="F15" s="9" t="n">
        <x:f>SUMIFS('Details'!$N$2:$N$79,'Details'!$B$2:$B$79,A15,'Details'!$C$2:$C$79,B15,'Details'!$E$2:$E$79,C15,'Details'!$H$2:$H$79,D15)</x:f>
        <x:v>-3505.74</x:v>
      </x:c>
    </x:row>
    <x:row r="16">
      <x:c r="A16" s="7" t="str">
        <x:v>L_6129_DE</x:v>
      </x:c>
      <x:c r="B16" s="7" t="str">
        <x:v>L_0100_LU</x:v>
      </x:c>
      <x:c r="C16" s="8" t="n">
        <x:v>46258</x:v>
      </x:c>
      <x:c r="D16" s="7" t="str">
        <x:v>TWD</x:v>
      </x:c>
      <x:c r="E16" s="7" t="n">
        <x:f>COUNTIFS('Details'!$B$2:$B$79,A16,'Details'!$C$2:$C$79,B16,'Details'!$E$2:$E$79,C16,'Details'!$H$2:$H$79,D16)</x:f>
        <x:v>2</x:v>
      </x:c>
      <x:c r="F16" s="9" t="n">
        <x:f>SUMIFS('Details'!$N$2:$N$79,'Details'!$B$2:$B$79,A16,'Details'!$C$2:$C$79,B16,'Details'!$E$2:$E$79,C16,'Details'!$H$2:$H$79,D16)</x:f>
        <x:v>-7026.36</x:v>
      </x:c>
    </x:row>
    <x:row r="17">
      <x:c r="A17" s="7" t="str">
        <x:v>L_6129_DE</x:v>
      </x:c>
      <x:c r="B17" s="7" t="str">
        <x:v>L_0100_LU</x:v>
      </x:c>
      <x:c r="C17" s="8" t="n">
        <x:v>46258</x:v>
      </x:c>
      <x:c r="D17" s="7" t="str">
        <x:v>USD</x:v>
      </x:c>
      <x:c r="E17" s="7" t="n">
        <x:f>COUNTIFS('Details'!$B$2:$B$79,A17,'Details'!$C$2:$C$79,B17,'Details'!$E$2:$E$79,C17,'Details'!$H$2:$H$79,D17)</x:f>
        <x:v>12</x:v>
      </x:c>
      <x:c r="F17" s="9" t="n">
        <x:f>SUMIFS('Details'!$N$2:$N$79,'Details'!$B$2:$B$79,A17,'Details'!$C$2:$C$79,B17,'Details'!$E$2:$E$79,C17,'Details'!$H$2:$H$79,D17)</x:f>
        <x:v>-42744.439999999995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2" hidden="0" customWidth="1"/>
    <x:col min="5" max="5" width="14" hidden="0" customWidth="1"/>
    <x:col min="6" max="6" width="12" hidden="0" customWidth="1"/>
    <x:col min="7" max="7" width="12" hidden="0" customWidth="1"/>
    <x:col min="8" max="8" width="10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4" hidden="0" customWidth="1"/>
  </x:cols>
  <x:sheetData>
    <x:row r="1">
      <x:c r="A1" s="13" t="str">
        <x:v>Reference</x:v>
      </x:c>
      <x:c r="B1" s="13" t="str">
        <x:v>Entity</x:v>
      </x:c>
      <x:c r="C1" s="13" t="str">
        <x:v>Counterparty</x:v>
      </x:c>
      <x:c r="D1" s="13" t="str">
        <x:v>Int/Ext</x:v>
      </x:c>
      <x:c r="E1" s="13" t="str">
        <x:v>Value Date</x:v>
      </x:c>
      <x:c r="F1" s="13" t="str">
        <x:v>Deal Type</x:v>
      </x:c>
      <x:c r="G1" s="13" t="str">
        <x:v>Buy/Sell</x:v>
      </x:c>
      <x:c r="H1" s="13" t="str">
        <x:v>Currency</x:v>
      </x:c>
      <x:c r="I1" s="13" t="str">
        <x:v>Amount</x:v>
      </x:c>
      <x:c r="J1" s="13" t="str">
        <x:v>Rate</x:v>
      </x:c>
      <x:c r="K1" s="13" t="str">
        <x:v>Equivalent Currency</x:v>
      </x:c>
      <x:c r="L1" s="13" t="str">
        <x:v>Equivalent Amount EUR</x:v>
      </x:c>
      <x:c r="M1" s="13" t="str">
        <x:v>Mark-to-market</x:v>
      </x:c>
      <x:c r="N1" s="13" t="str">
        <x:v>Diff. in GC</x:v>
      </x:c>
      <x:c r="O1" s="13" t="str">
        <x:v>Amount (MTM) EUR</x:v>
      </x:c>
      <x:c r="P1" s="13" t="str">
        <x:v>Portfolio</x:v>
      </x:c>
    </x:row>
    <x:row r="2">
      <x:c r="A2" t="str">
        <x:v>FW-105086</x:v>
      </x:c>
      <x:c r="B2" t="str">
        <x:v>L_6129_DE</x:v>
      </x:c>
      <x:c r="C2" t="str">
        <x:v>L_0100_LU</x:v>
      </x:c>
      <x:c r="D2" t="str">
        <x:v>Internal</x:v>
      </x:c>
      <x:c r="E2" s="8" t="n">
        <x:v>46258</x:v>
      </x:c>
      <x:c r="F2" t="str">
        <x:v>Forward</x:v>
      </x:c>
      <x:c r="G2" t="str">
        <x:v>Buy</x:v>
      </x:c>
      <x:c r="H2" t="str">
        <x:v>USD</x:v>
      </x:c>
      <x:c r="I2" s="9" t="n">
        <x:v>100000</x:v>
      </x:c>
      <x:c r="J2" s="14" t="n">
        <x:v>1.1432</x:v>
      </x:c>
      <x:c r="K2" t="str">
        <x:v>EUR</x:v>
      </x:c>
      <x:c r="L2" s="9" t="n">
        <x:v>-87473.76</x:v>
      </x:c>
      <x:c r="M2" s="9" t="n">
        <x:v>1.1681</x:v>
      </x:c>
      <x:c r="N2" s="9" t="n">
        <x:v>-1864.65</x:v>
      </x:c>
      <x:c r="O2" s="9" t="n">
        <x:v>-85609.11</x:v>
      </x:c>
      <x:c r="P2" t="str">
        <x:v>FX-OP-UDL</x:v>
      </x:c>
    </x:row>
    <x:row r="3">
      <x:c r="A3" t="str">
        <x:v>FW-105092</x:v>
      </x:c>
      <x:c r="B3" t="str">
        <x:v>L_6129_DE</x:v>
      </x:c>
      <x:c r="C3" t="str">
        <x:v>L_0100_LU</x:v>
      </x:c>
      <x:c r="D3" t="str">
        <x:v>Internal</x:v>
      </x:c>
      <x:c r="E3" s="8" t="n">
        <x:v>46258</x:v>
      </x:c>
      <x:c r="F3" t="str">
        <x:v>Forward</x:v>
      </x:c>
      <x:c r="G3" t="str">
        <x:v>Buy</x:v>
      </x:c>
      <x:c r="H3" t="str">
        <x:v>CNY</x:v>
      </x:c>
      <x:c r="I3" s="9" t="n">
        <x:v>1500000</x:v>
      </x:c>
      <x:c r="J3" s="14" t="n">
        <x:v>7.7235</x:v>
      </x:c>
      <x:c r="K3" t="str">
        <x:v>EUR</x:v>
      </x:c>
      <x:c r="L3" s="9" t="n">
        <x:v>-194212.47</x:v>
      </x:c>
      <x:c r="M3" s="9" t="n">
        <x:v>7.8538</x:v>
      </x:c>
      <x:c r="N3" s="9" t="n">
        <x:v>-3222.12</x:v>
      </x:c>
      <x:c r="O3" s="9" t="n">
        <x:v>-190990.35</x:v>
      </x:c>
      <x:c r="P3" t="str">
        <x:v>FX-OP-UDL</x:v>
      </x:c>
    </x:row>
    <x:row r="4">
      <x:c r="A4" t="str">
        <x:v>FW-105100</x:v>
      </x:c>
      <x:c r="B4" t="str">
        <x:v>L_6129_DE</x:v>
      </x:c>
      <x:c r="C4" t="str">
        <x:v>L_0100_LU</x:v>
      </x:c>
      <x:c r="D4" t="str">
        <x:v>Internal</x:v>
      </x:c>
      <x:c r="E4" s="8" t="n">
        <x:v>46258</x:v>
      </x:c>
      <x:c r="F4" t="str">
        <x:v>Forward</x:v>
      </x:c>
      <x:c r="G4" t="str">
        <x:v>Buy</x:v>
      </x:c>
      <x:c r="H4" t="str">
        <x:v>CNY</x:v>
      </x:c>
      <x:c r="I4" s="9" t="n">
        <x:v>1000000</x:v>
      </x:c>
      <x:c r="J4" s="14" t="n">
        <x:v>7.7398</x:v>
      </x:c>
      <x:c r="K4" t="str">
        <x:v>EUR</x:v>
      </x:c>
      <x:c r="L4" s="9" t="n">
        <x:v>-129202.3</x:v>
      </x:c>
      <x:c r="M4" s="9" t="n">
        <x:v>7.8538</x:v>
      </x:c>
      <x:c r="N4" s="9" t="n">
        <x:v>-1875.41</x:v>
      </x:c>
      <x:c r="O4" s="9" t="n">
        <x:v>-127326.9</x:v>
      </x:c>
      <x:c r="P4" t="str">
        <x:v>FX-OP-UDL</x:v>
      </x:c>
    </x:row>
    <x:row r="5">
      <x:c r="A5" t="str">
        <x:v>FW-105103</x:v>
      </x:c>
      <x:c r="B5" t="str">
        <x:v>L_6129_DE</x:v>
      </x:c>
      <x:c r="C5" t="str">
        <x:v>L_0100_LU</x:v>
      </x:c>
      <x:c r="D5" t="str">
        <x:v>Internal</x:v>
      </x:c>
      <x:c r="E5" s="8" t="n">
        <x:v>46258</x:v>
      </x:c>
      <x:c r="F5" t="str">
        <x:v>Forward</x:v>
      </x:c>
      <x:c r="G5" t="str">
        <x:v>Buy</x:v>
      </x:c>
      <x:c r="H5" t="str">
        <x:v>HKD</x:v>
      </x:c>
      <x:c r="I5" s="9" t="n">
        <x:v>1000000</x:v>
      </x:c>
      <x:c r="J5" s="14" t="n">
        <x:v>8.9713</x:v>
      </x:c>
      <x:c r="K5" t="str">
        <x:v>EUR</x:v>
      </x:c>
      <x:c r="L5" s="9" t="n">
        <x:v>-111466.57</x:v>
      </x:c>
      <x:c r="M5" s="9" t="n">
        <x:v>9.1624</x:v>
      </x:c>
      <x:c r="N5" s="9" t="n">
        <x:v>-2324.86</x:v>
      </x:c>
      <x:c r="O5" s="9" t="n">
        <x:v>-109141.71</x:v>
      </x:c>
      <x:c r="P5" t="str">
        <x:v>FX-OP-UDL</x:v>
      </x:c>
    </x:row>
    <x:row r="6">
      <x:c r="A6" t="str">
        <x:v>FW-105115</x:v>
      </x:c>
      <x:c r="B6" t="str">
        <x:v>L_6129_DE</x:v>
      </x:c>
      <x:c r="C6" t="str">
        <x:v>L_0100_LU</x:v>
      </x:c>
      <x:c r="D6" t="str">
        <x:v>Internal</x:v>
      </x:c>
      <x:c r="E6" s="8" t="n">
        <x:v>46258</x:v>
      </x:c>
      <x:c r="F6" t="str">
        <x:v>Forward</x:v>
      </x:c>
      <x:c r="G6" t="str">
        <x:v>Buy</x:v>
      </x:c>
      <x:c r="H6" t="str">
        <x:v>CNY</x:v>
      </x:c>
      <x:c r="I6" s="9" t="n">
        <x:v>2000000</x:v>
      </x:c>
      <x:c r="J6" s="14" t="n">
        <x:v>7.7327</x:v>
      </x:c>
      <x:c r="K6" t="str">
        <x:v>EUR</x:v>
      </x:c>
      <x:c r="L6" s="9" t="n">
        <x:v>-258641.87</x:v>
      </x:c>
      <x:c r="M6" s="9" t="n">
        <x:v>7.8538</x:v>
      </x:c>
      <x:c r="N6" s="9" t="n">
        <x:v>-3988.07</x:v>
      </x:c>
      <x:c r="O6" s="9" t="n">
        <x:v>-254653.8</x:v>
      </x:c>
      <x:c r="P6" t="str">
        <x:v>FX-OP-UDL</x:v>
      </x:c>
    </x:row>
    <x:row r="7">
      <x:c r="A7" t="str">
        <x:v>FW-105118</x:v>
      </x:c>
      <x:c r="B7" t="str">
        <x:v>L_6129_DE</x:v>
      </x:c>
      <x:c r="C7" t="str">
        <x:v>L_0100_LU</x:v>
      </x:c>
      <x:c r="D7" t="str">
        <x:v>Internal</x:v>
      </x:c>
      <x:c r="E7" s="8" t="n">
        <x:v>46258</x:v>
      </x:c>
      <x:c r="F7" t="str">
        <x:v>Forward</x:v>
      </x:c>
      <x:c r="G7" t="str">
        <x:v>Buy</x:v>
      </x:c>
      <x:c r="H7" t="str">
        <x:v>HKD</x:v>
      </x:c>
      <x:c r="I7" s="9" t="n">
        <x:v>2000000</x:v>
      </x:c>
      <x:c r="J7" s="14" t="n">
        <x:v>8.9481</x:v>
      </x:c>
      <x:c r="K7" t="str">
        <x:v>EUR</x:v>
      </x:c>
      <x:c r="L7" s="9" t="n">
        <x:v>-223511.14</x:v>
      </x:c>
      <x:c r="M7" s="9" t="n">
        <x:v>9.1624</x:v>
      </x:c>
      <x:c r="N7" s="9" t="n">
        <x:v>-5227.72</x:v>
      </x:c>
      <x:c r="O7" s="9" t="n">
        <x:v>-218283.42</x:v>
      </x:c>
      <x:c r="P7" t="str">
        <x:v>FX-OP-UDL</x:v>
      </x:c>
    </x:row>
    <x:row r="8">
      <x:c r="A8" t="str">
        <x:v>FW-105131</x:v>
      </x:c>
      <x:c r="B8" t="str">
        <x:v>L_6129_DE</x:v>
      </x:c>
      <x:c r="C8" t="str">
        <x:v>L_0100_LU</x:v>
      </x:c>
      <x:c r="D8" t="str">
        <x:v>Internal</x:v>
      </x:c>
      <x:c r="E8" s="8" t="n">
        <x:v>46258</x:v>
      </x:c>
      <x:c r="F8" t="str">
        <x:v>Forward</x:v>
      </x:c>
      <x:c r="G8" t="str">
        <x:v>Buy</x:v>
      </x:c>
      <x:c r="H8" t="str">
        <x:v>USD</x:v>
      </x:c>
      <x:c r="I8" s="9" t="n">
        <x:v>280000</x:v>
      </x:c>
      <x:c r="J8" s="14" t="n">
        <x:v>1.144947</x:v>
      </x:c>
      <x:c r="K8" t="str">
        <x:v>EUR</x:v>
      </x:c>
      <x:c r="L8" s="9" t="n">
        <x:v>-244552.8</x:v>
      </x:c>
      <x:c r="M8" s="9" t="n">
        <x:v>1.1681</x:v>
      </x:c>
      <x:c r="N8" s="9" t="n">
        <x:v>-4847.3</x:v>
      </x:c>
      <x:c r="O8" s="9" t="n">
        <x:v>-239705.5</x:v>
      </x:c>
      <x:c r="P8" t="str">
        <x:v>FX-OP-UDL</x:v>
      </x:c>
    </x:row>
    <x:row r="9">
      <x:c r="A9" t="str">
        <x:v>FW-105141</x:v>
      </x:c>
      <x:c r="B9" t="str">
        <x:v>L_6129_DE</x:v>
      </x:c>
      <x:c r="C9" t="str">
        <x:v>L_0100_LU</x:v>
      </x:c>
      <x:c r="D9" t="str">
        <x:v>Internal</x:v>
      </x:c>
      <x:c r="E9" s="8" t="n">
        <x:v>46258</x:v>
      </x:c>
      <x:c r="F9" t="str">
        <x:v>Forward</x:v>
      </x:c>
      <x:c r="G9" t="str">
        <x:v>Buy</x:v>
      </x:c>
      <x:c r="H9" t="str">
        <x:v>HKD</x:v>
      </x:c>
      <x:c r="I9" s="9" t="n">
        <x:v>1000000</x:v>
      </x:c>
      <x:c r="J9" s="14" t="n">
        <x:v>8.9542</x:v>
      </x:c>
      <x:c r="K9" t="str">
        <x:v>EUR</x:v>
      </x:c>
      <x:c r="L9" s="9" t="n">
        <x:v>-111679.44</x:v>
      </x:c>
      <x:c r="M9" s="9" t="n">
        <x:v>9.1624</x:v>
      </x:c>
      <x:c r="N9" s="9" t="n">
        <x:v>-2537.73</x:v>
      </x:c>
      <x:c r="O9" s="9" t="n">
        <x:v>-109141.71</x:v>
      </x:c>
      <x:c r="P9" t="str">
        <x:v>FX-OP-UDL</x:v>
      </x:c>
    </x:row>
    <x:row r="10">
      <x:c r="A10" t="str">
        <x:v>FW-105144</x:v>
      </x:c>
      <x:c r="B10" t="str">
        <x:v>L_6129_DE</x:v>
      </x:c>
      <x:c r="C10" t="str">
        <x:v>L_0100_LU</x:v>
      </x:c>
      <x:c r="D10" t="str">
        <x:v>Internal</x:v>
      </x:c>
      <x:c r="E10" s="8" t="n">
        <x:v>46258</x:v>
      </x:c>
      <x:c r="F10" t="str">
        <x:v>Forward</x:v>
      </x:c>
      <x:c r="G10" t="str">
        <x:v>Buy</x:v>
      </x:c>
      <x:c r="H10" t="str">
        <x:v>CNY</x:v>
      </x:c>
      <x:c r="I10" s="9" t="n">
        <x:v>2200000</x:v>
      </x:c>
      <x:c r="J10" s="14" t="n">
        <x:v>7.7411</x:v>
      </x:c>
      <x:c r="K10" t="str">
        <x:v>EUR</x:v>
      </x:c>
      <x:c r="L10" s="9" t="n">
        <x:v>-284197.34</x:v>
      </x:c>
      <x:c r="M10" s="9" t="n">
        <x:v>7.8538</x:v>
      </x:c>
      <x:c r="N10" s="9" t="n">
        <x:v>-4078.16</x:v>
      </x:c>
      <x:c r="O10" s="9" t="n">
        <x:v>-280119.18</x:v>
      </x:c>
      <x:c r="P10" t="str">
        <x:v>FX-OP-UDL</x:v>
      </x:c>
    </x:row>
    <x:row r="11">
      <x:c r="A11" t="str">
        <x:v>FW-105150</x:v>
      </x:c>
      <x:c r="B11" t="str">
        <x:v>L_6129_DE</x:v>
      </x:c>
      <x:c r="C11" t="str">
        <x:v>L_0100_LU</x:v>
      </x:c>
      <x:c r="D11" t="str">
        <x:v>Internal</x:v>
      </x:c>
      <x:c r="E11" s="8" t="n">
        <x:v>46258</x:v>
      </x:c>
      <x:c r="F11" t="str">
        <x:v>Forward</x:v>
      </x:c>
      <x:c r="G11" t="str">
        <x:v>Sell</x:v>
      </x:c>
      <x:c r="H11" t="str">
        <x:v>GBP</x:v>
      </x:c>
      <x:c r="I11" s="9" t="n">
        <x:v>-120000</x:v>
      </x:c>
      <x:c r="J11" s="14" t="n">
        <x:v>0.8561</x:v>
      </x:c>
      <x:c r="K11" t="str">
        <x:v>EUR</x:v>
      </x:c>
      <x:c r="L11" s="9" t="n">
        <x:v>140170.54</x:v>
      </x:c>
      <x:c r="M11" s="9" t="n">
        <x:v>0.85725</x:v>
      </x:c>
      <x:c r="N11" s="9" t="n">
        <x:v>188.04</x:v>
      </x:c>
      <x:c r="O11" s="9" t="n">
        <x:v>139982.5</x:v>
      </x:c>
      <x:c r="P11" t="str">
        <x:v>FX-OP-UDL</x:v>
      </x:c>
    </x:row>
    <x:row r="12">
      <x:c r="A12" t="str">
        <x:v>FW-105167</x:v>
      </x:c>
      <x:c r="B12" t="str">
        <x:v>L_6129_DE</x:v>
      </x:c>
      <x:c r="C12" t="str">
        <x:v>L_0100_LU</x:v>
      </x:c>
      <x:c r="D12" t="str">
        <x:v>Internal</x:v>
      </x:c>
      <x:c r="E12" s="8" t="n">
        <x:v>46258</x:v>
      </x:c>
      <x:c r="F12" t="str">
        <x:v>Forward</x:v>
      </x:c>
      <x:c r="G12" t="str">
        <x:v>Buy</x:v>
      </x:c>
      <x:c r="H12" t="str">
        <x:v>CNY</x:v>
      </x:c>
      <x:c r="I12" s="9" t="n">
        <x:v>2000000</x:v>
      </x:c>
      <x:c r="J12" s="14" t="n">
        <x:v>7.7375</x:v>
      </x:c>
      <x:c r="K12" t="str">
        <x:v>EUR</x:v>
      </x:c>
      <x:c r="L12" s="9" t="n">
        <x:v>-258481.42</x:v>
      </x:c>
      <x:c r="M12" s="9" t="n">
        <x:v>7.8538</x:v>
      </x:c>
      <x:c r="N12" s="9" t="n">
        <x:v>-3827.62</x:v>
      </x:c>
      <x:c r="O12" s="9" t="n">
        <x:v>-254653.8</x:v>
      </x:c>
      <x:c r="P12" t="str">
        <x:v>FX-OP-UDL</x:v>
      </x:c>
    </x:row>
    <x:row r="13">
      <x:c r="A13" t="str">
        <x:v>FW-105170</x:v>
      </x:c>
      <x:c r="B13" t="str">
        <x:v>L_6129_DE</x:v>
      </x:c>
      <x:c r="C13" t="str">
        <x:v>L_0100_LU</x:v>
      </x:c>
      <x:c r="D13" t="str">
        <x:v>Internal</x:v>
      </x:c>
      <x:c r="E13" s="8" t="n">
        <x:v>46258</x:v>
      </x:c>
      <x:c r="F13" t="str">
        <x:v>Forward</x:v>
      </x:c>
      <x:c r="G13" t="str">
        <x:v>Buy</x:v>
      </x:c>
      <x:c r="H13" t="str">
        <x:v>HKD</x:v>
      </x:c>
      <x:c r="I13" s="9" t="n">
        <x:v>1000000</x:v>
      </x:c>
      <x:c r="J13" s="14" t="n">
        <x:v>8.9387</x:v>
      </x:c>
      <x:c r="K13" t="str">
        <x:v>EUR</x:v>
      </x:c>
      <x:c r="L13" s="9" t="n">
        <x:v>-111873.09</x:v>
      </x:c>
      <x:c r="M13" s="9" t="n">
        <x:v>9.1624</x:v>
      </x:c>
      <x:c r="N13" s="9" t="n">
        <x:v>-2731.38</x:v>
      </x:c>
      <x:c r="O13" s="9" t="n">
        <x:v>-109141.71</x:v>
      </x:c>
      <x:c r="P13" t="str">
        <x:v>FX-OP-UDL</x:v>
      </x:c>
    </x:row>
    <x:row r="14">
      <x:c r="A14" t="str">
        <x:v>FW-105173</x:v>
      </x:c>
      <x:c r="B14" t="str">
        <x:v>L_6129_DE</x:v>
      </x:c>
      <x:c r="C14" t="str">
        <x:v>L_0100_LU</x:v>
      </x:c>
      <x:c r="D14" t="str">
        <x:v>Internal</x:v>
      </x:c>
      <x:c r="E14" s="8" t="n">
        <x:v>46258</x:v>
      </x:c>
      <x:c r="F14" t="str">
        <x:v>Forward</x:v>
      </x:c>
      <x:c r="G14" t="str">
        <x:v>Sell</x:v>
      </x:c>
      <x:c r="H14" t="str">
        <x:v>SGD</x:v>
      </x:c>
      <x:c r="I14" s="9" t="n">
        <x:v>-100000</x:v>
      </x:c>
      <x:c r="J14" s="14" t="n">
        <x:v>1.4775</x:v>
      </x:c>
      <x:c r="K14" t="str">
        <x:v>EUR</x:v>
      </x:c>
      <x:c r="L14" s="9" t="n">
        <x:v>67681.9</x:v>
      </x:c>
      <x:c r="M14" s="9" t="n">
        <x:v>1.486</x:v>
      </x:c>
      <x:c r="N14" s="9" t="n">
        <x:v>387.14</x:v>
      </x:c>
      <x:c r="O14" s="9" t="n">
        <x:v>67294.75</x:v>
      </x:c>
      <x:c r="P14" t="str">
        <x:v>FX-OP-UDL</x:v>
      </x:c>
    </x:row>
    <x:row r="15">
      <x:c r="A15" t="str">
        <x:v>FW-105176</x:v>
      </x:c>
      <x:c r="B15" t="str">
        <x:v>L_6129_DE</x:v>
      </x:c>
      <x:c r="C15" t="str">
        <x:v>L_0100_LU</x:v>
      </x:c>
      <x:c r="D15" t="str">
        <x:v>Internal</x:v>
      </x:c>
      <x:c r="E15" s="8" t="n">
        <x:v>46258</x:v>
      </x:c>
      <x:c r="F15" t="str">
        <x:v>Forward</x:v>
      </x:c>
      <x:c r="G15" t="str">
        <x:v>Sell</x:v>
      </x:c>
      <x:c r="H15" t="str">
        <x:v>GBP</x:v>
      </x:c>
      <x:c r="I15" s="9" t="n">
        <x:v>-100000</x:v>
      </x:c>
      <x:c r="J15" s="14" t="n">
        <x:v>0.858</x:v>
      </x:c>
      <x:c r="K15" t="str">
        <x:v>EUR</x:v>
      </x:c>
      <x:c r="L15" s="9" t="n">
        <x:v>116550.12</x:v>
      </x:c>
      <x:c r="M15" s="9" t="n">
        <x:v>0.85725</x:v>
      </x:c>
      <x:c r="N15" s="9" t="n">
        <x:v>-101.97</x:v>
      </x:c>
      <x:c r="O15" s="9" t="n">
        <x:v>116652.09</x:v>
      </x:c>
      <x:c r="P15" t="str">
        <x:v>FX-OP-UDL</x:v>
      </x:c>
    </x:row>
    <x:row r="16">
      <x:c r="A16" t="str">
        <x:v>FW-105201</x:v>
      </x:c>
      <x:c r="B16" t="str">
        <x:v>L_6129_DE</x:v>
      </x:c>
      <x:c r="C16" t="str">
        <x:v>L_0100_LU</x:v>
      </x:c>
      <x:c r="D16" t="str">
        <x:v>Internal</x:v>
      </x:c>
      <x:c r="E16" s="8" t="n">
        <x:v>46258</x:v>
      </x:c>
      <x:c r="F16" t="str">
        <x:v>Forward</x:v>
      </x:c>
      <x:c r="G16" t="str">
        <x:v>Buy</x:v>
      </x:c>
      <x:c r="H16" t="str">
        <x:v>USD</x:v>
      </x:c>
      <x:c r="I16" s="9" t="n">
        <x:v>250000</x:v>
      </x:c>
      <x:c r="J16" s="14" t="n">
        <x:v>1.143143</x:v>
      </x:c>
      <x:c r="K16" t="str">
        <x:v>EUR</x:v>
      </x:c>
      <x:c r="L16" s="9" t="n">
        <x:v>-218695.3</x:v>
      </x:c>
      <x:c r="M16" s="9" t="n">
        <x:v>1.1681</x:v>
      </x:c>
      <x:c r="N16" s="9" t="n">
        <x:v>-4672.53</x:v>
      </x:c>
      <x:c r="O16" s="9" t="n">
        <x:v>-214022.77</x:v>
      </x:c>
      <x:c r="P16" t="str">
        <x:v>FX-OP-UDL</x:v>
      </x:c>
    </x:row>
    <x:row r="17">
      <x:c r="A17" t="str">
        <x:v>FW-105207</x:v>
      </x:c>
      <x:c r="B17" t="str">
        <x:v>L_6129_DE</x:v>
      </x:c>
      <x:c r="C17" t="str">
        <x:v>L_0100_LU</x:v>
      </x:c>
      <x:c r="D17" t="str">
        <x:v>Internal</x:v>
      </x:c>
      <x:c r="E17" s="8" t="n">
        <x:v>46258</x:v>
      </x:c>
      <x:c r="F17" t="str">
        <x:v>Forward</x:v>
      </x:c>
      <x:c r="G17" t="str">
        <x:v>Buy</x:v>
      </x:c>
      <x:c r="H17" t="str">
        <x:v>HKD</x:v>
      </x:c>
      <x:c r="I17" s="9" t="n">
        <x:v>1700000</x:v>
      </x:c>
      <x:c r="J17" s="14" t="n">
        <x:v>8.9472</x:v>
      </x:c>
      <x:c r="K17" t="str">
        <x:v>EUR</x:v>
      </x:c>
      <x:c r="L17" s="9" t="n">
        <x:v>-190003.58</x:v>
      </x:c>
      <x:c r="M17" s="9" t="n">
        <x:v>9.1624</x:v>
      </x:c>
      <x:c r="N17" s="9" t="n">
        <x:v>-4462.67</x:v>
      </x:c>
      <x:c r="O17" s="9" t="n">
        <x:v>-185540.91</x:v>
      </x:c>
      <x:c r="P17" t="str">
        <x:v>FX-OP-UDL</x:v>
      </x:c>
    </x:row>
    <x:row r="18">
      <x:c r="A18" t="str">
        <x:v>FW-105209</x:v>
      </x:c>
      <x:c r="B18" t="str">
        <x:v>L_6129_DE</x:v>
      </x:c>
      <x:c r="C18" t="str">
        <x:v>L_0100_LU</x:v>
      </x:c>
      <x:c r="D18" t="str">
        <x:v>Internal</x:v>
      </x:c>
      <x:c r="E18" s="8" t="n">
        <x:v>46258</x:v>
      </x:c>
      <x:c r="F18" t="str">
        <x:v>Forward</x:v>
      </x:c>
      <x:c r="G18" t="str">
        <x:v>Buy</x:v>
      </x:c>
      <x:c r="H18" t="str">
        <x:v>CNY</x:v>
      </x:c>
      <x:c r="I18" s="9" t="n">
        <x:v>800000</x:v>
      </x:c>
      <x:c r="J18" s="14" t="n">
        <x:v>7.755</x:v>
      </x:c>
      <x:c r="K18" t="str">
        <x:v>EUR</x:v>
      </x:c>
      <x:c r="L18" s="9" t="n">
        <x:v>-103159.25</x:v>
      </x:c>
      <x:c r="M18" s="9" t="n">
        <x:v>7.8538</x:v>
      </x:c>
      <x:c r="N18" s="9" t="n">
        <x:v>-1297.73</x:v>
      </x:c>
      <x:c r="O18" s="9" t="n">
        <x:v>-101861.52</x:v>
      </x:c>
      <x:c r="P18" t="str">
        <x:v>FX-OP-UDL</x:v>
      </x:c>
    </x:row>
    <x:row r="19">
      <x:c r="A19" t="str">
        <x:v>FW-105259</x:v>
      </x:c>
      <x:c r="B19" t="str">
        <x:v>L_6129_DE</x:v>
      </x:c>
      <x:c r="C19" t="str">
        <x:v>L_0100_LU</x:v>
      </x:c>
      <x:c r="D19" t="str">
        <x:v>Internal</x:v>
      </x:c>
      <x:c r="E19" s="8" t="n">
        <x:v>46258</x:v>
      </x:c>
      <x:c r="F19" t="str">
        <x:v>Forward</x:v>
      </x:c>
      <x:c r="G19" t="str">
        <x:v>Buy</x:v>
      </x:c>
      <x:c r="H19" t="str">
        <x:v>CNY</x:v>
      </x:c>
      <x:c r="I19" s="9" t="n">
        <x:v>2000000</x:v>
      </x:c>
      <x:c r="J19" s="14" t="n">
        <x:v>7.7215</x:v>
      </x:c>
      <x:c r="K19" t="str">
        <x:v>EUR</x:v>
      </x:c>
      <x:c r="L19" s="9" t="n">
        <x:v>-259017.03</x:v>
      </x:c>
      <x:c r="M19" s="9" t="n">
        <x:v>7.8538</x:v>
      </x:c>
      <x:c r="N19" s="9" t="n">
        <x:v>-4363.23</x:v>
      </x:c>
      <x:c r="O19" s="9" t="n">
        <x:v>-254653.8</x:v>
      </x:c>
      <x:c r="P19" t="str">
        <x:v>FX-OP-UDL</x:v>
      </x:c>
    </x:row>
    <x:row r="20">
      <x:c r="A20" t="str">
        <x:v>FW-105262</x:v>
      </x:c>
      <x:c r="B20" t="str">
        <x:v>L_6129_DE</x:v>
      </x:c>
      <x:c r="C20" t="str">
        <x:v>L_0100_LU</x:v>
      </x:c>
      <x:c r="D20" t="str">
        <x:v>Internal</x:v>
      </x:c>
      <x:c r="E20" s="8" t="n">
        <x:v>46258</x:v>
      </x:c>
      <x:c r="F20" t="str">
        <x:v>Forward</x:v>
      </x:c>
      <x:c r="G20" t="str">
        <x:v>Sell</x:v>
      </x:c>
      <x:c r="H20" t="str">
        <x:v>GBP</x:v>
      </x:c>
      <x:c r="I20" s="9" t="n">
        <x:v>-150000</x:v>
      </x:c>
      <x:c r="J20" s="14" t="n">
        <x:v>0.8546</x:v>
      </x:c>
      <x:c r="K20" t="str">
        <x:v>EUR</x:v>
      </x:c>
      <x:c r="L20" s="9" t="n">
        <x:v>175520.71</x:v>
      </x:c>
      <x:c r="M20" s="9" t="n">
        <x:v>0.85725</x:v>
      </x:c>
      <x:c r="N20" s="9" t="n">
        <x:v>542.58</x:v>
      </x:c>
      <x:c r="O20" s="9" t="n">
        <x:v>174978.13</x:v>
      </x:c>
      <x:c r="P20" t="str">
        <x:v>FX-OP-UDL</x:v>
      </x:c>
    </x:row>
    <x:row r="21">
      <x:c r="A21" t="str">
        <x:v>FW-105265</x:v>
      </x:c>
      <x:c r="B21" t="str">
        <x:v>L_6129_DE</x:v>
      </x:c>
      <x:c r="C21" t="str">
        <x:v>L_0100_LU</x:v>
      </x:c>
      <x:c r="D21" t="str">
        <x:v>Internal</x:v>
      </x:c>
      <x:c r="E21" s="8" t="n">
        <x:v>46258</x:v>
      </x:c>
      <x:c r="F21" t="str">
        <x:v>Forward</x:v>
      </x:c>
      <x:c r="G21" t="str">
        <x:v>Buy</x:v>
      </x:c>
      <x:c r="H21" t="str">
        <x:v>THB</x:v>
      </x:c>
      <x:c r="I21" s="9" t="n">
        <x:v>4000000</x:v>
      </x:c>
      <x:c r="J21" s="14" t="n">
        <x:v>37.8</x:v>
      </x:c>
      <x:c r="K21" t="str">
        <x:v>EUR</x:v>
      </x:c>
      <x:c r="L21" s="9" t="n">
        <x:v>-105820.11</x:v>
      </x:c>
      <x:c r="M21" s="9" t="n">
        <x:v>38.448</x:v>
      </x:c>
      <x:c r="N21" s="9" t="n">
        <x:v>-1783.48</x:v>
      </x:c>
      <x:c r="O21" s="9" t="n">
        <x:v>-104036.62</x:v>
      </x:c>
      <x:c r="P21" t="str">
        <x:v>FX-OP-UDL</x:v>
      </x:c>
    </x:row>
    <x:row r="22">
      <x:c r="A22" t="str">
        <x:v>FW-105268</x:v>
      </x:c>
      <x:c r="B22" t="str">
        <x:v>L_6129_DE</x:v>
      </x:c>
      <x:c r="C22" t="str">
        <x:v>L_0100_LU</x:v>
      </x:c>
      <x:c r="D22" t="str">
        <x:v>Internal</x:v>
      </x:c>
      <x:c r="E22" s="8" t="n">
        <x:v>46258</x:v>
      </x:c>
      <x:c r="F22" t="str">
        <x:v>Forward</x:v>
      </x:c>
      <x:c r="G22" t="str">
        <x:v>Buy</x:v>
      </x:c>
      <x:c r="H22" t="str">
        <x:v>USD</x:v>
      </x:c>
      <x:c r="I22" s="9" t="n">
        <x:v>150000</x:v>
      </x:c>
      <x:c r="J22" s="14" t="n">
        <x:v>1.1435</x:v>
      </x:c>
      <x:c r="K22" t="str">
        <x:v>EUR</x:v>
      </x:c>
      <x:c r="L22" s="9" t="n">
        <x:v>-131176.21</x:v>
      </x:c>
      <x:c r="M22" s="9" t="n">
        <x:v>1.1681</x:v>
      </x:c>
      <x:c r="N22" s="9" t="n">
        <x:v>-2762.55</x:v>
      </x:c>
      <x:c r="O22" s="9" t="n">
        <x:v>-128413.66</x:v>
      </x:c>
      <x:c r="P22" t="str">
        <x:v>FX-OP-UDL</x:v>
      </x:c>
    </x:row>
    <x:row r="23">
      <x:c r="A23" t="str">
        <x:v>FW-105285</x:v>
      </x:c>
      <x:c r="B23" t="str">
        <x:v>L_6129_DE</x:v>
      </x:c>
      <x:c r="C23" t="str">
        <x:v>L_0100_LU</x:v>
      </x:c>
      <x:c r="D23" t="str">
        <x:v>Internal</x:v>
      </x:c>
      <x:c r="E23" s="8" t="n">
        <x:v>46258</x:v>
      </x:c>
      <x:c r="F23" t="str">
        <x:v>Forward</x:v>
      </x:c>
      <x:c r="G23" t="str">
        <x:v>Buy</x:v>
      </x:c>
      <x:c r="H23" t="str">
        <x:v>CNY</x:v>
      </x:c>
      <x:c r="I23" s="9" t="n">
        <x:v>1300000</x:v>
      </x:c>
      <x:c r="J23" s="14" t="n">
        <x:v>7.7278</x:v>
      </x:c>
      <x:c r="K23" t="str">
        <x:v>EUR</x:v>
      </x:c>
      <x:c r="L23" s="9" t="n">
        <x:v>-168223.82</x:v>
      </x:c>
      <x:c r="M23" s="9" t="n">
        <x:v>7.8538</x:v>
      </x:c>
      <x:c r="N23" s="9" t="n">
        <x:v>-2698.85</x:v>
      </x:c>
      <x:c r="O23" s="9" t="n">
        <x:v>-165524.97</x:v>
      </x:c>
      <x:c r="P23" t="str">
        <x:v>FX-OP-UDL</x:v>
      </x:c>
    </x:row>
    <x:row r="24">
      <x:c r="A24" t="str">
        <x:v>FW-105288</x:v>
      </x:c>
      <x:c r="B24" t="str">
        <x:v>L_6129_DE</x:v>
      </x:c>
      <x:c r="C24" t="str">
        <x:v>L_0100_LU</x:v>
      </x:c>
      <x:c r="D24" t="str">
        <x:v>Internal</x:v>
      </x:c>
      <x:c r="E24" s="8" t="n">
        <x:v>46258</x:v>
      </x:c>
      <x:c r="F24" t="str">
        <x:v>Forward</x:v>
      </x:c>
      <x:c r="G24" t="str">
        <x:v>Buy</x:v>
      </x:c>
      <x:c r="H24" t="str">
        <x:v>HKD</x:v>
      </x:c>
      <x:c r="I24" s="9" t="n">
        <x:v>2000000</x:v>
      </x:c>
      <x:c r="J24" s="14" t="n">
        <x:v>8.9525</x:v>
      </x:c>
      <x:c r="K24" t="str">
        <x:v>EUR</x:v>
      </x:c>
      <x:c r="L24" s="9" t="n">
        <x:v>-223401.28</x:v>
      </x:c>
      <x:c r="M24" s="9" t="n">
        <x:v>9.1624</x:v>
      </x:c>
      <x:c r="N24" s="9" t="n">
        <x:v>-5117.87</x:v>
      </x:c>
      <x:c r="O24" s="9" t="n">
        <x:v>-218283.42</x:v>
      </x:c>
      <x:c r="P24" t="str">
        <x:v>FX-OP-UDL</x:v>
      </x:c>
    </x:row>
    <x:row r="25">
      <x:c r="A25" t="str">
        <x:v>FW-105294</x:v>
      </x:c>
      <x:c r="B25" t="str">
        <x:v>L_6129_DE</x:v>
      </x:c>
      <x:c r="C25" t="str">
        <x:v>L_0100_LU</x:v>
      </x:c>
      <x:c r="D25" t="str">
        <x:v>Internal</x:v>
      </x:c>
      <x:c r="E25" s="8" t="n">
        <x:v>46258</x:v>
      </x:c>
      <x:c r="F25" t="str">
        <x:v>Forward</x:v>
      </x:c>
      <x:c r="G25" t="str">
        <x:v>Buy</x:v>
      </x:c>
      <x:c r="H25" t="str">
        <x:v>USD</x:v>
      </x:c>
      <x:c r="I25" s="9" t="n">
        <x:v>170000</x:v>
      </x:c>
      <x:c r="J25" s="14" t="n">
        <x:v>1.1443</x:v>
      </x:c>
      <x:c r="K25" t="str">
        <x:v>EUR</x:v>
      </x:c>
      <x:c r="L25" s="9" t="n">
        <x:v>-148562.44</x:v>
      </x:c>
      <x:c r="M25" s="9" t="n">
        <x:v>1.1681</x:v>
      </x:c>
      <x:c r="N25" s="9" t="n">
        <x:v>-3026.95</x:v>
      </x:c>
      <x:c r="O25" s="9" t="n">
        <x:v>-145535.48</x:v>
      </x:c>
      <x:c r="P25" t="str">
        <x:v>FX-OP-UDL</x:v>
      </x:c>
    </x:row>
    <x:row r="26">
      <x:c r="A26" t="str">
        <x:v>NDF-105297</x:v>
      </x:c>
      <x:c r="B26" t="str">
        <x:v>L_6129_DE</x:v>
      </x:c>
      <x:c r="C26" t="str">
        <x:v>L_0100_LU</x:v>
      </x:c>
      <x:c r="D26" t="str">
        <x:v>Internal</x:v>
      </x:c>
      <x:c r="E26" s="8" t="n">
        <x:v>46258</x:v>
      </x:c>
      <x:c r="F26" t="str">
        <x:v>Non Delivery Forward</x:v>
      </x:c>
      <x:c r="G26" t="str">
        <x:v>Buy</x:v>
      </x:c>
      <x:c r="H26" t="str">
        <x:v>INR</x:v>
      </x:c>
      <x:c r="I26" s="9" t="n">
        <x:v>15000000</x:v>
      </x:c>
      <x:c r="J26" s="14" t="n">
        <x:v>109.36</x:v>
      </x:c>
      <x:c r="K26" t="str">
        <x:v>EUR</x:v>
      </x:c>
      <x:c r="L26" s="9" t="n">
        <x:v>-137161.67</x:v>
      </x:c>
      <x:c r="M26" s="9" t="n">
        <x:v>111.7985</x:v>
      </x:c>
      <x:c r="N26" s="9" t="n">
        <x:v>-2991.71</x:v>
      </x:c>
      <x:c r="O26" s="9" t="n">
        <x:v>-134169.96</x:v>
      </x:c>
      <x:c r="P26" t="str">
        <x:v>FX-OP-UDL</x:v>
      </x:c>
    </x:row>
    <x:row r="27">
      <x:c r="A27" t="str">
        <x:v>NDF-105300</x:v>
      </x:c>
      <x:c r="B27" t="str">
        <x:v>L_6129_DE</x:v>
      </x:c>
      <x:c r="C27" t="str">
        <x:v>L_0100_LU</x:v>
      </x:c>
      <x:c r="D27" t="str">
        <x:v>Internal</x:v>
      </x:c>
      <x:c r="E27" s="8" t="n">
        <x:v>46258</x:v>
      </x:c>
      <x:c r="F27" t="str">
        <x:v>Non Delivery Forward</x:v>
      </x:c>
      <x:c r="G27" t="str">
        <x:v>Buy</x:v>
      </x:c>
      <x:c r="H27" t="str">
        <x:v>TWD</x:v>
      </x:c>
      <x:c r="I27" s="9" t="n">
        <x:v>10000000</x:v>
      </x:c>
      <x:c r="J27" s="14" t="n">
        <x:v>36.564</x:v>
      </x:c>
      <x:c r="K27" t="str">
        <x:v>EUR</x:v>
      </x:c>
      <x:c r="L27" s="9" t="n">
        <x:v>-273493.05</x:v>
      </x:c>
      <x:c r="M27" s="9" t="n">
        <x:v>37.25289</x:v>
      </x:c>
      <x:c r="N27" s="9" t="n">
        <x:v>-5057.5</x:v>
      </x:c>
      <x:c r="O27" s="9" t="n">
        <x:v>-268435.55</x:v>
      </x:c>
      <x:c r="P27" t="str">
        <x:v>FX-OP-UDL</x:v>
      </x:c>
    </x:row>
    <x:row r="28">
      <x:c r="A28" t="str">
        <x:v>FW-105309</x:v>
      </x:c>
      <x:c r="B28" t="str">
        <x:v>L_6129_DE</x:v>
      </x:c>
      <x:c r="C28" t="str">
        <x:v>L_0100_LU</x:v>
      </x:c>
      <x:c r="D28" t="str">
        <x:v>Internal</x:v>
      </x:c>
      <x:c r="E28" s="8" t="n">
        <x:v>46258</x:v>
      </x:c>
      <x:c r="F28" t="str">
        <x:v>Forward</x:v>
      </x:c>
      <x:c r="G28" t="str">
        <x:v>Buy</x:v>
      </x:c>
      <x:c r="H28" t="str">
        <x:v>CNY</x:v>
      </x:c>
      <x:c r="I28" s="9" t="n">
        <x:v>2900000</x:v>
      </x:c>
      <x:c r="J28" s="14" t="n">
        <x:v>7.70405</x:v>
      </x:c>
      <x:c r="K28" t="str">
        <x:v>EUR</x:v>
      </x:c>
      <x:c r="L28" s="9" t="n">
        <x:v>-376425.39</x:v>
      </x:c>
      <x:c r="M28" s="9" t="n">
        <x:v>7.8538</x:v>
      </x:c>
      <x:c r="N28" s="9" t="n">
        <x:v>-7177.38</x:v>
      </x:c>
      <x:c r="O28" s="9" t="n">
        <x:v>-369248.01</x:v>
      </x:c>
      <x:c r="P28" t="str">
        <x:v>FX-OP-UDL</x:v>
      </x:c>
    </x:row>
    <x:row r="29">
      <x:c r="A29" t="str">
        <x:v>FW-105318</x:v>
      </x:c>
      <x:c r="B29" t="str">
        <x:v>L_6129_DE</x:v>
      </x:c>
      <x:c r="C29" t="str">
        <x:v>L_0100_LU</x:v>
      </x:c>
      <x:c r="D29" t="str">
        <x:v>Internal</x:v>
      </x:c>
      <x:c r="E29" s="8" t="n">
        <x:v>46258</x:v>
      </x:c>
      <x:c r="F29" t="str">
        <x:v>Forward</x:v>
      </x:c>
      <x:c r="G29" t="str">
        <x:v>Sell</x:v>
      </x:c>
      <x:c r="H29" t="str">
        <x:v>GBP</x:v>
      </x:c>
      <x:c r="I29" s="9" t="n">
        <x:v>-80000</x:v>
      </x:c>
      <x:c r="J29" s="14" t="n">
        <x:v>0.854467</x:v>
      </x:c>
      <x:c r="K29" t="str">
        <x:v>EUR</x:v>
      </x:c>
      <x:c r="L29" s="9" t="n">
        <x:v>93625.62</x:v>
      </x:c>
      <x:c r="M29" s="9" t="n">
        <x:v>0.85725</x:v>
      </x:c>
      <x:c r="N29" s="9" t="n">
        <x:v>303.95</x:v>
      </x:c>
      <x:c r="O29" s="9" t="n">
        <x:v>93321.67</x:v>
      </x:c>
      <x:c r="P29" t="str">
        <x:v>FX-OP-UDL</x:v>
      </x:c>
    </x:row>
    <x:row r="30">
      <x:c r="A30" t="str">
        <x:v>FW-105353</x:v>
      </x:c>
      <x:c r="B30" t="str">
        <x:v>L_6129_DE</x:v>
      </x:c>
      <x:c r="C30" t="str">
        <x:v>L_0100_LU</x:v>
      </x:c>
      <x:c r="D30" t="str">
        <x:v>Internal</x:v>
      </x:c>
      <x:c r="E30" s="8" t="n">
        <x:v>46258</x:v>
      </x:c>
      <x:c r="F30" t="str">
        <x:v>Forward</x:v>
      </x:c>
      <x:c r="G30" t="str">
        <x:v>Sell</x:v>
      </x:c>
      <x:c r="H30" t="str">
        <x:v>GBP</x:v>
      </x:c>
      <x:c r="I30" s="9" t="n">
        <x:v>-240000</x:v>
      </x:c>
      <x:c r="J30" s="14" t="n">
        <x:v>0.855134</x:v>
      </x:c>
      <x:c r="K30" t="str">
        <x:v>EUR</x:v>
      </x:c>
      <x:c r="L30" s="9" t="n">
        <x:v>280657.77</x:v>
      </x:c>
      <x:c r="M30" s="9" t="n">
        <x:v>0.85725</x:v>
      </x:c>
      <x:c r="N30" s="9" t="n">
        <x:v>692.76</x:v>
      </x:c>
      <x:c r="O30" s="9" t="n">
        <x:v>279965</x:v>
      </x:c>
      <x:c r="P30" t="str">
        <x:v>FX-OP-UDL</x:v>
      </x:c>
    </x:row>
    <x:row r="31">
      <x:c r="A31" t="str">
        <x:v>FW-105356</x:v>
      </x:c>
      <x:c r="B31" t="str">
        <x:v>L_6129_DE</x:v>
      </x:c>
      <x:c r="C31" t="str">
        <x:v>L_0100_LU</x:v>
      </x:c>
      <x:c r="D31" t="str">
        <x:v>Internal</x:v>
      </x:c>
      <x:c r="E31" s="8" t="n">
        <x:v>46258</x:v>
      </x:c>
      <x:c r="F31" t="str">
        <x:v>Forward</x:v>
      </x:c>
      <x:c r="G31" t="str">
        <x:v>Buy</x:v>
      </x:c>
      <x:c r="H31" t="str">
        <x:v>HKD</x:v>
      </x:c>
      <x:c r="I31" s="9" t="n">
        <x:v>1600000</x:v>
      </x:c>
      <x:c r="J31" s="14" t="n">
        <x:v>8.94619</x:v>
      </x:c>
      <x:c r="K31" t="str">
        <x:v>EUR</x:v>
      </x:c>
      <x:c r="L31" s="9" t="n">
        <x:v>-178847.08</x:v>
      </x:c>
      <x:c r="M31" s="9" t="n">
        <x:v>9.1624</x:v>
      </x:c>
      <x:c r="N31" s="9" t="n">
        <x:v>-4220.35</x:v>
      </x:c>
      <x:c r="O31" s="9" t="n">
        <x:v>-174626.74</x:v>
      </x:c>
      <x:c r="P31" t="str">
        <x:v>FX-OP-UDL</x:v>
      </x:c>
    </x:row>
    <x:row r="32">
      <x:c r="A32" t="str">
        <x:v>FW-105359</x:v>
      </x:c>
      <x:c r="B32" t="str">
        <x:v>L_6129_DE</x:v>
      </x:c>
      <x:c r="C32" t="str">
        <x:v>L_0100_LU</x:v>
      </x:c>
      <x:c r="D32" t="str">
        <x:v>Internal</x:v>
      </x:c>
      <x:c r="E32" s="8" t="n">
        <x:v>46258</x:v>
      </x:c>
      <x:c r="F32" t="str">
        <x:v>Forward</x:v>
      </x:c>
      <x:c r="G32" t="str">
        <x:v>Buy</x:v>
      </x:c>
      <x:c r="H32" t="str">
        <x:v>USD</x:v>
      </x:c>
      <x:c r="I32" s="9" t="n">
        <x:v>200000</x:v>
      </x:c>
      <x:c r="J32" s="14" t="n">
        <x:v>1.142758</x:v>
      </x:c>
      <x:c r="K32" t="str">
        <x:v>EUR</x:v>
      </x:c>
      <x:c r="L32" s="9" t="n">
        <x:v>-175015.18</x:v>
      </x:c>
      <x:c r="M32" s="9" t="n">
        <x:v>1.1681</x:v>
      </x:c>
      <x:c r="N32" s="9" t="n">
        <x:v>-3796.96</x:v>
      </x:c>
      <x:c r="O32" s="9" t="n">
        <x:v>-171218.22</x:v>
      </x:c>
      <x:c r="P32" t="str">
        <x:v>FX-OP-UDL</x:v>
      </x:c>
    </x:row>
    <x:row r="33">
      <x:c r="A33" t="str">
        <x:v>FW-105361</x:v>
      </x:c>
      <x:c r="B33" t="str">
        <x:v>L_6129_DE</x:v>
      </x:c>
      <x:c r="C33" t="str">
        <x:v>L_0100_LU</x:v>
      </x:c>
      <x:c r="D33" t="str">
        <x:v>Internal</x:v>
      </x:c>
      <x:c r="E33" s="8" t="n">
        <x:v>46258</x:v>
      </x:c>
      <x:c r="F33" t="str">
        <x:v>Forward</x:v>
      </x:c>
      <x:c r="G33" t="str">
        <x:v>Buy</x:v>
      </x:c>
      <x:c r="H33" t="str">
        <x:v>CNY</x:v>
      </x:c>
      <x:c r="I33" s="9" t="n">
        <x:v>1300000</x:v>
      </x:c>
      <x:c r="J33" s="14" t="n">
        <x:v>7.74765</x:v>
      </x:c>
      <x:c r="K33" t="str">
        <x:v>EUR</x:v>
      </x:c>
      <x:c r="L33" s="9" t="n">
        <x:v>-167792.81</x:v>
      </x:c>
      <x:c r="M33" s="9" t="n">
        <x:v>7.8538</x:v>
      </x:c>
      <x:c r="N33" s="9" t="n">
        <x:v>-2267.85</x:v>
      </x:c>
      <x:c r="O33" s="9" t="n">
        <x:v>-165524.97</x:v>
      </x:c>
      <x:c r="P33" t="str">
        <x:v>FX-OP-UDL</x:v>
      </x:c>
    </x:row>
    <x:row r="34">
      <x:c r="A34" t="str">
        <x:v>FW-105376</x:v>
      </x:c>
      <x:c r="B34" t="str">
        <x:v>L_6129_DE</x:v>
      </x:c>
      <x:c r="C34" t="str">
        <x:v>L_0100_LU</x:v>
      </x:c>
      <x:c r="D34" t="str">
        <x:v>Internal</x:v>
      </x:c>
      <x:c r="E34" s="8" t="n">
        <x:v>46258</x:v>
      </x:c>
      <x:c r="F34" t="str">
        <x:v>Forward</x:v>
      </x:c>
      <x:c r="G34" t="str">
        <x:v>Sell</x:v>
      </x:c>
      <x:c r="H34" t="str">
        <x:v>CZK</x:v>
      </x:c>
      <x:c r="I34" s="9" t="n">
        <x:v>-2000000</x:v>
      </x:c>
      <x:c r="J34" s="14" t="n">
        <x:v>24.246</x:v>
      </x:c>
      <x:c r="K34" t="str">
        <x:v>EUR</x:v>
      </x:c>
      <x:c r="L34" s="9" t="n">
        <x:v>82487.83</x:v>
      </x:c>
      <x:c r="M34" s="9" t="n">
        <x:v>24.153</x:v>
      </x:c>
      <x:c r="N34" s="9" t="n">
        <x:v>-317.62</x:v>
      </x:c>
      <x:c r="O34" s="9" t="n">
        <x:v>82805.45</x:v>
      </x:c>
      <x:c r="P34" t="str">
        <x:v>FX-OP-UDL</x:v>
      </x:c>
    </x:row>
    <x:row r="35">
      <x:c r="A35" t="str">
        <x:v>FW-105378</x:v>
      </x:c>
      <x:c r="B35" t="str">
        <x:v>L_6129_DE</x:v>
      </x:c>
      <x:c r="C35" t="str">
        <x:v>L_0100_LU</x:v>
      </x:c>
      <x:c r="D35" t="str">
        <x:v>Internal</x:v>
      </x:c>
      <x:c r="E35" s="8" t="n">
        <x:v>46258</x:v>
      </x:c>
      <x:c r="F35" t="str">
        <x:v>Forward</x:v>
      </x:c>
      <x:c r="G35" t="str">
        <x:v>Buy</x:v>
      </x:c>
      <x:c r="H35" t="str">
        <x:v>CNY</x:v>
      </x:c>
      <x:c r="I35" s="9" t="n">
        <x:v>1000000</x:v>
      </x:c>
      <x:c r="J35" s="14" t="n">
        <x:v>7.7268</x:v>
      </x:c>
      <x:c r="K35" t="str">
        <x:v>EUR</x:v>
      </x:c>
      <x:c r="L35" s="9" t="n">
        <x:v>-129419.68</x:v>
      </x:c>
      <x:c r="M35" s="9" t="n">
        <x:v>7.8538</x:v>
      </x:c>
      <x:c r="N35" s="9" t="n">
        <x:v>-2092.78</x:v>
      </x:c>
      <x:c r="O35" s="9" t="n">
        <x:v>-127326.9</x:v>
      </x:c>
      <x:c r="P35" t="str">
        <x:v>FX-OP-UDL</x:v>
      </x:c>
    </x:row>
    <x:row r="36">
      <x:c r="A36" t="str">
        <x:v>FW-105409</x:v>
      </x:c>
      <x:c r="B36" t="str">
        <x:v>L_6129_DE</x:v>
      </x:c>
      <x:c r="C36" t="str">
        <x:v>L_0100_LU</x:v>
      </x:c>
      <x:c r="D36" t="str">
        <x:v>Internal</x:v>
      </x:c>
      <x:c r="E36" s="8" t="n">
        <x:v>46258</x:v>
      </x:c>
      <x:c r="F36" t="str">
        <x:v>Forward</x:v>
      </x:c>
      <x:c r="G36" t="str">
        <x:v>Buy</x:v>
      </x:c>
      <x:c r="H36" t="str">
        <x:v>USD</x:v>
      </x:c>
      <x:c r="I36" s="9" t="n">
        <x:v>110000</x:v>
      </x:c>
      <x:c r="J36" s="14" t="n">
        <x:v>1.14626</x:v>
      </x:c>
      <x:c r="K36" t="str">
        <x:v>EUR</x:v>
      </x:c>
      <x:c r="L36" s="9" t="n">
        <x:v>-95964.27</x:v>
      </x:c>
      <x:c r="M36" s="9" t="n">
        <x:v>1.1681</x:v>
      </x:c>
      <x:c r="N36" s="9" t="n">
        <x:v>-1794.25</x:v>
      </x:c>
      <x:c r="O36" s="9" t="n">
        <x:v>-94170.02</x:v>
      </x:c>
      <x:c r="P36" t="str">
        <x:v>FX-OP-UDL</x:v>
      </x:c>
    </x:row>
    <x:row r="37">
      <x:c r="A37" t="str">
        <x:v>FW-105418</x:v>
      </x:c>
      <x:c r="B37" t="str">
        <x:v>L_6129_DE</x:v>
      </x:c>
      <x:c r="C37" t="str">
        <x:v>L_0100_LU</x:v>
      </x:c>
      <x:c r="D37" t="str">
        <x:v>Internal</x:v>
      </x:c>
      <x:c r="E37" s="8" t="n">
        <x:v>46258</x:v>
      </x:c>
      <x:c r="F37" t="str">
        <x:v>Forward</x:v>
      </x:c>
      <x:c r="G37" t="str">
        <x:v>Sell</x:v>
      </x:c>
      <x:c r="H37" t="str">
        <x:v>SGD</x:v>
      </x:c>
      <x:c r="I37" s="9" t="n">
        <x:v>-150000</x:v>
      </x:c>
      <x:c r="J37" s="14" t="n">
        <x:v>1.47762</x:v>
      </x:c>
      <x:c r="K37" t="str">
        <x:v>EUR</x:v>
      </x:c>
      <x:c r="L37" s="9" t="n">
        <x:v>101514.6</x:v>
      </x:c>
      <x:c r="M37" s="9" t="n">
        <x:v>1.486</x:v>
      </x:c>
      <x:c r="N37" s="9" t="n">
        <x:v>572.47</x:v>
      </x:c>
      <x:c r="O37" s="9" t="n">
        <x:v>100942.13</x:v>
      </x:c>
      <x:c r="P37" t="str">
        <x:v>FX-OP-UDL</x:v>
      </x:c>
    </x:row>
    <x:row r="38">
      <x:c r="A38" t="str">
        <x:v>FW-105420</x:v>
      </x:c>
      <x:c r="B38" t="str">
        <x:v>L_6129_DE</x:v>
      </x:c>
      <x:c r="C38" t="str">
        <x:v>L_0100_LU</x:v>
      </x:c>
      <x:c r="D38" t="str">
        <x:v>Internal</x:v>
      </x:c>
      <x:c r="E38" s="8" t="n">
        <x:v>46258</x:v>
      </x:c>
      <x:c r="F38" t="str">
        <x:v>Forward</x:v>
      </x:c>
      <x:c r="G38" t="str">
        <x:v>Buy</x:v>
      </x:c>
      <x:c r="H38" t="str">
        <x:v>CNY</x:v>
      </x:c>
      <x:c r="I38" s="9" t="n">
        <x:v>2000000</x:v>
      </x:c>
      <x:c r="J38" s="14" t="n">
        <x:v>7.73037</x:v>
      </x:c>
      <x:c r="K38" t="str">
        <x:v>EUR</x:v>
      </x:c>
      <x:c r="L38" s="9" t="n">
        <x:v>-258719.83</x:v>
      </x:c>
      <x:c r="M38" s="9" t="n">
        <x:v>7.8538</x:v>
      </x:c>
      <x:c r="N38" s="9" t="n">
        <x:v>-4066.03</x:v>
      </x:c>
      <x:c r="O38" s="9" t="n">
        <x:v>-254653.8</x:v>
      </x:c>
      <x:c r="P38" t="str">
        <x:v>FX-OP-UDL</x:v>
      </x:c>
    </x:row>
    <x:row r="39">
      <x:c r="A39" t="str">
        <x:v>FW-105422</x:v>
      </x:c>
      <x:c r="B39" t="str">
        <x:v>L_6129_DE</x:v>
      </x:c>
      <x:c r="C39" t="str">
        <x:v>L_0100_LU</x:v>
      </x:c>
      <x:c r="D39" t="str">
        <x:v>Internal</x:v>
      </x:c>
      <x:c r="E39" s="8" t="n">
        <x:v>46258</x:v>
      </x:c>
      <x:c r="F39" t="str">
        <x:v>Forward</x:v>
      </x:c>
      <x:c r="G39" t="str">
        <x:v>Buy</x:v>
      </x:c>
      <x:c r="H39" t="str">
        <x:v>HKD</x:v>
      </x:c>
      <x:c r="I39" s="9" t="n">
        <x:v>1300000</x:v>
      </x:c>
      <x:c r="J39" s="14" t="n">
        <x:v>8.95994</x:v>
      </x:c>
      <x:c r="K39" t="str">
        <x:v>EUR</x:v>
      </x:c>
      <x:c r="L39" s="9" t="n">
        <x:v>-145090.26</x:v>
      </x:c>
      <x:c r="M39" s="9" t="n">
        <x:v>9.1624</x:v>
      </x:c>
      <x:c r="N39" s="9" t="n">
        <x:v>-3206.03</x:v>
      </x:c>
      <x:c r="O39" s="9" t="n">
        <x:v>-141884.22</x:v>
      </x:c>
      <x:c r="P39" t="str">
        <x:v>FX-OP-UDL</x:v>
      </x:c>
    </x:row>
    <x:row r="40">
      <x:c r="A40" t="str">
        <x:v>FW-105445</x:v>
      </x:c>
      <x:c r="B40" t="str">
        <x:v>L_6129_DE</x:v>
      </x:c>
      <x:c r="C40" t="str">
        <x:v>L_0100_LU</x:v>
      </x:c>
      <x:c r="D40" t="str">
        <x:v>Internal</x:v>
      </x:c>
      <x:c r="E40" s="8" t="n">
        <x:v>46258</x:v>
      </x:c>
      <x:c r="F40" t="str">
        <x:v>Forward</x:v>
      </x:c>
      <x:c r="G40" t="str">
        <x:v>Buy</x:v>
      </x:c>
      <x:c r="H40" t="str">
        <x:v>CNY</x:v>
      </x:c>
      <x:c r="I40" s="9" t="n">
        <x:v>2600000</x:v>
      </x:c>
      <x:c r="J40" s="14" t="n">
        <x:v>7.71601</x:v>
      </x:c>
      <x:c r="K40" t="str">
        <x:v>EUR</x:v>
      </x:c>
      <x:c r="L40" s="9" t="n">
        <x:v>-336961.72</x:v>
      </x:c>
      <x:c r="M40" s="9" t="n">
        <x:v>7.8538</x:v>
      </x:c>
      <x:c r="N40" s="9" t="n">
        <x:v>-5911.78</x:v>
      </x:c>
      <x:c r="O40" s="9" t="n">
        <x:v>-331049.94</x:v>
      </x:c>
      <x:c r="P40" t="str">
        <x:v>FX-OP-UDL</x:v>
      </x:c>
    </x:row>
    <x:row r="41">
      <x:c r="A41" t="str">
        <x:v>FW-105452</x:v>
      </x:c>
      <x:c r="B41" t="str">
        <x:v>L_6129_DE</x:v>
      </x:c>
      <x:c r="C41" t="str">
        <x:v>L_0100_LU</x:v>
      </x:c>
      <x:c r="D41" t="str">
        <x:v>Internal</x:v>
      </x:c>
      <x:c r="E41" s="8" t="n">
        <x:v>46258</x:v>
      </x:c>
      <x:c r="F41" t="str">
        <x:v>Forward</x:v>
      </x:c>
      <x:c r="G41" t="str">
        <x:v>Buy</x:v>
      </x:c>
      <x:c r="H41" t="str">
        <x:v>HKD</x:v>
      </x:c>
      <x:c r="I41" s="9" t="n">
        <x:v>1200000</x:v>
      </x:c>
      <x:c r="J41" s="14" t="n">
        <x:v>8.95368</x:v>
      </x:c>
      <x:c r="K41" t="str">
        <x:v>EUR</x:v>
      </x:c>
      <x:c r="L41" s="9" t="n">
        <x:v>-134023.11</x:v>
      </x:c>
      <x:c r="M41" s="9" t="n">
        <x:v>9.1624</x:v>
      </x:c>
      <x:c r="N41" s="9" t="n">
        <x:v>-3053.05</x:v>
      </x:c>
      <x:c r="O41" s="9" t="n">
        <x:v>-130970.05</x:v>
      </x:c>
      <x:c r="P41" t="str">
        <x:v>FX-OP-UDL</x:v>
      </x:c>
    </x:row>
    <x:row r="42">
      <x:c r="A42" t="str">
        <x:v>FW-105479</x:v>
      </x:c>
      <x:c r="B42" t="str">
        <x:v>L_6129_DE</x:v>
      </x:c>
      <x:c r="C42" t="str">
        <x:v>L_0100_LU</x:v>
      </x:c>
      <x:c r="D42" t="str">
        <x:v>Internal</x:v>
      </x:c>
      <x:c r="E42" s="8" t="n">
        <x:v>46258</x:v>
      </x:c>
      <x:c r="F42" t="str">
        <x:v>Forward</x:v>
      </x:c>
      <x:c r="G42" t="str">
        <x:v>Buy</x:v>
      </x:c>
      <x:c r="H42" t="str">
        <x:v>THB</x:v>
      </x:c>
      <x:c r="I42" s="9" t="n">
        <x:v>3000000</x:v>
      </x:c>
      <x:c r="J42" s="14" t="n">
        <x:v>38.307</x:v>
      </x:c>
      <x:c r="K42" t="str">
        <x:v>EUR</x:v>
      </x:c>
      <x:c r="L42" s="9" t="n">
        <x:v>-78314.67</x:v>
      </x:c>
      <x:c r="M42" s="9" t="n">
        <x:v>38.448</x:v>
      </x:c>
      <x:c r="N42" s="9" t="n">
        <x:v>-287.2</x:v>
      </x:c>
      <x:c r="O42" s="9" t="n">
        <x:v>-78027.47</x:v>
      </x:c>
      <x:c r="P42" t="str">
        <x:v>FX-OP-UDL</x:v>
      </x:c>
    </x:row>
    <x:row r="43">
      <x:c r="A43" t="str">
        <x:v>FW-105483</x:v>
      </x:c>
      <x:c r="B43" t="str">
        <x:v>L_6129_DE</x:v>
      </x:c>
      <x:c r="C43" t="str">
        <x:v>L_0100_LU</x:v>
      </x:c>
      <x:c r="D43" t="str">
        <x:v>Internal</x:v>
      </x:c>
      <x:c r="E43" s="8" t="n">
        <x:v>46258</x:v>
      </x:c>
      <x:c r="F43" t="str">
        <x:v>Forward</x:v>
      </x:c>
      <x:c r="G43" t="str">
        <x:v>Buy</x:v>
      </x:c>
      <x:c r="H43" t="str">
        <x:v>CNY</x:v>
      </x:c>
      <x:c r="I43" s="9" t="n">
        <x:v>2200000</x:v>
      </x:c>
      <x:c r="J43" s="14" t="n">
        <x:v>7.7089</x:v>
      </x:c>
      <x:c r="K43" t="str">
        <x:v>EUR</x:v>
      </x:c>
      <x:c r="L43" s="9" t="n">
        <x:v>-285384.43</x:v>
      </x:c>
      <x:c r="M43" s="9" t="n">
        <x:v>7.8538</x:v>
      </x:c>
      <x:c r="N43" s="9" t="n">
        <x:v>-5265.25</x:v>
      </x:c>
      <x:c r="O43" s="9" t="n">
        <x:v>-280119.18</x:v>
      </x:c>
      <x:c r="P43" t="str">
        <x:v>FX-OP-UDL</x:v>
      </x:c>
    </x:row>
    <x:row r="44">
      <x:c r="A44" t="str">
        <x:v>FW-105488</x:v>
      </x:c>
      <x:c r="B44" t="str">
        <x:v>L_6129_DE</x:v>
      </x:c>
      <x:c r="C44" t="str">
        <x:v>L_0100_LU</x:v>
      </x:c>
      <x:c r="D44" t="str">
        <x:v>Internal</x:v>
      </x:c>
      <x:c r="E44" s="8" t="n">
        <x:v>46258</x:v>
      </x:c>
      <x:c r="F44" t="str">
        <x:v>Forward</x:v>
      </x:c>
      <x:c r="G44" t="str">
        <x:v>Sell</x:v>
      </x:c>
      <x:c r="H44" t="str">
        <x:v>GBP</x:v>
      </x:c>
      <x:c r="I44" s="9" t="n">
        <x:v>-100000</x:v>
      </x:c>
      <x:c r="J44" s="14" t="n">
        <x:v>0.8527</x:v>
      </x:c>
      <x:c r="K44" t="str">
        <x:v>EUR</x:v>
      </x:c>
      <x:c r="L44" s="9" t="n">
        <x:v>117274.54</x:v>
      </x:c>
      <x:c r="M44" s="9" t="n">
        <x:v>0.85725</x:v>
      </x:c>
      <x:c r="N44" s="9" t="n">
        <x:v>622.45</x:v>
      </x:c>
      <x:c r="O44" s="9" t="n">
        <x:v>116652.09</x:v>
      </x:c>
      <x:c r="P44" t="str">
        <x:v>FX-OP-UDL</x:v>
      </x:c>
    </x:row>
    <x:row r="45">
      <x:c r="A45" t="str">
        <x:v>FW-105533</x:v>
      </x:c>
      <x:c r="B45" t="str">
        <x:v>L_6129_DE</x:v>
      </x:c>
      <x:c r="C45" t="str">
        <x:v>L_0100_LU</x:v>
      </x:c>
      <x:c r="D45" t="str">
        <x:v>Internal</x:v>
      </x:c>
      <x:c r="E45" s="8" t="n">
        <x:v>46258</x:v>
      </x:c>
      <x:c r="F45" t="str">
        <x:v>Forward</x:v>
      </x:c>
      <x:c r="G45" t="str">
        <x:v>Buy</x:v>
      </x:c>
      <x:c r="H45" t="str">
        <x:v>CNY</x:v>
      </x:c>
      <x:c r="I45" s="9" t="n">
        <x:v>800000</x:v>
      </x:c>
      <x:c r="J45" s="14" t="n">
        <x:v>7.7066</x:v>
      </x:c>
      <x:c r="K45" t="str">
        <x:v>EUR</x:v>
      </x:c>
      <x:c r="L45" s="9" t="n">
        <x:v>-103807.13</x:v>
      </x:c>
      <x:c r="M45" s="9" t="n">
        <x:v>7.8538</x:v>
      </x:c>
      <x:c r="N45" s="9" t="n">
        <x:v>-1945.61</x:v>
      </x:c>
      <x:c r="O45" s="9" t="n">
        <x:v>-101861.52</x:v>
      </x:c>
      <x:c r="P45" t="str">
        <x:v>FX-OP-UDL</x:v>
      </x:c>
    </x:row>
    <x:row r="46">
      <x:c r="A46" t="str">
        <x:v>FW-105536</x:v>
      </x:c>
      <x:c r="B46" t="str">
        <x:v>L_6129_DE</x:v>
      </x:c>
      <x:c r="C46" t="str">
        <x:v>L_0100_LU</x:v>
      </x:c>
      <x:c r="D46" t="str">
        <x:v>Internal</x:v>
      </x:c>
      <x:c r="E46" s="8" t="n">
        <x:v>46258</x:v>
      </x:c>
      <x:c r="F46" t="str">
        <x:v>Forward</x:v>
      </x:c>
      <x:c r="G46" t="str">
        <x:v>Sell</x:v>
      </x:c>
      <x:c r="H46" t="str">
        <x:v>GBP</x:v>
      </x:c>
      <x:c r="I46" s="9" t="n">
        <x:v>-100000</x:v>
      </x:c>
      <x:c r="J46" s="14" t="n">
        <x:v>0.8553</x:v>
      </x:c>
      <x:c r="K46" t="str">
        <x:v>EUR</x:v>
      </x:c>
      <x:c r="L46" s="9" t="n">
        <x:v>116918.04</x:v>
      </x:c>
      <x:c r="M46" s="9" t="n">
        <x:v>0.85725</x:v>
      </x:c>
      <x:c r="N46" s="9" t="n">
        <x:v>265.96</x:v>
      </x:c>
      <x:c r="O46" s="9" t="n">
        <x:v>116652.09</x:v>
      </x:c>
      <x:c r="P46" t="str">
        <x:v>FX-OP-UDL</x:v>
      </x:c>
    </x:row>
    <x:row r="47">
      <x:c r="A47" t="str">
        <x:v>NDF-105539</x:v>
      </x:c>
      <x:c r="B47" t="str">
        <x:v>L_6129_DE</x:v>
      </x:c>
      <x:c r="C47" t="str">
        <x:v>L_0100_LU</x:v>
      </x:c>
      <x:c r="D47" t="str">
        <x:v>Internal</x:v>
      </x:c>
      <x:c r="E47" s="8" t="n">
        <x:v>46258</x:v>
      </x:c>
      <x:c r="F47" t="str">
        <x:v>Non Delivery Forward</x:v>
      </x:c>
      <x:c r="G47" t="str">
        <x:v>Buy</x:v>
      </x:c>
      <x:c r="H47" t="str">
        <x:v>INR</x:v>
      </x:c>
      <x:c r="I47" s="9" t="n">
        <x:v>20000000</x:v>
      </x:c>
      <x:c r="J47" s="14" t="n">
        <x:v>110.1</x:v>
      </x:c>
      <x:c r="K47" t="str">
        <x:v>EUR</x:v>
      </x:c>
      <x:c r="L47" s="9" t="n">
        <x:v>-181653.04</x:v>
      </x:c>
      <x:c r="M47" s="9" t="n">
        <x:v>111.7985</x:v>
      </x:c>
      <x:c r="N47" s="9" t="n">
        <x:v>-2759.77</x:v>
      </x:c>
      <x:c r="O47" s="9" t="n">
        <x:v>-178893.28</x:v>
      </x:c>
      <x:c r="P47" t="str">
        <x:v>FX-OP-UDL</x:v>
      </x:c>
    </x:row>
    <x:row r="48">
      <x:c r="A48" t="str">
        <x:v>NDF-105542</x:v>
      </x:c>
      <x:c r="B48" t="str">
        <x:v>L_6129_DE</x:v>
      </x:c>
      <x:c r="C48" t="str">
        <x:v>L_0100_LU</x:v>
      </x:c>
      <x:c r="D48" t="str">
        <x:v>Internal</x:v>
      </x:c>
      <x:c r="E48" s="8" t="n">
        <x:v>46258</x:v>
      </x:c>
      <x:c r="F48" t="str">
        <x:v>Non Delivery Forward</x:v>
      </x:c>
      <x:c r="G48" t="str">
        <x:v>Buy</x:v>
      </x:c>
      <x:c r="H48" t="str">
        <x:v>TWD</x:v>
      </x:c>
      <x:c r="I48" s="9" t="n">
        <x:v>6000000</x:v>
      </x:c>
      <x:c r="J48" s="14" t="n">
        <x:v>36.803</x:v>
      </x:c>
      <x:c r="K48" t="str">
        <x:v>EUR</x:v>
      </x:c>
      <x:c r="L48" s="9" t="n">
        <x:v>-163030.19</x:v>
      </x:c>
      <x:c r="M48" s="9" t="n">
        <x:v>37.25289</x:v>
      </x:c>
      <x:c r="N48" s="9" t="n">
        <x:v>-1968.86</x:v>
      </x:c>
      <x:c r="O48" s="9" t="n">
        <x:v>-161061.33</x:v>
      </x:c>
      <x:c r="P48" t="str">
        <x:v>FX-OP-UDL</x:v>
      </x:c>
    </x:row>
    <x:row r="49">
      <x:c r="A49" t="str">
        <x:v>FW-105551</x:v>
      </x:c>
      <x:c r="B49" t="str">
        <x:v>L_6129_DE</x:v>
      </x:c>
      <x:c r="C49" t="str">
        <x:v>L_0100_LU</x:v>
      </x:c>
      <x:c r="D49" t="str">
        <x:v>Internal</x:v>
      </x:c>
      <x:c r="E49" s="8" t="n">
        <x:v>46258</x:v>
      </x:c>
      <x:c r="F49" t="str">
        <x:v>Forward</x:v>
      </x:c>
      <x:c r="G49" t="str">
        <x:v>Buy</x:v>
      </x:c>
      <x:c r="H49" t="str">
        <x:v>USD</x:v>
      </x:c>
      <x:c r="I49" s="9" t="n">
        <x:v>250000</x:v>
      </x:c>
      <x:c r="J49" s="14" t="n">
        <x:v>1.143316</x:v>
      </x:c>
      <x:c r="K49" t="str">
        <x:v>EUR</x:v>
      </x:c>
      <x:c r="L49" s="9" t="n">
        <x:v>-218662.21</x:v>
      </x:c>
      <x:c r="M49" s="9" t="n">
        <x:v>1.1681</x:v>
      </x:c>
      <x:c r="N49" s="9" t="n">
        <x:v>-4639.44</x:v>
      </x:c>
      <x:c r="O49" s="9" t="n">
        <x:v>-214022.77</x:v>
      </x:c>
      <x:c r="P49" t="str">
        <x:v>FX-OP-UDL</x:v>
      </x:c>
    </x:row>
    <x:row r="50">
      <x:c r="A50" t="str">
        <x:v>FW-105568</x:v>
      </x:c>
      <x:c r="B50" t="str">
        <x:v>L_6129_DE</x:v>
      </x:c>
      <x:c r="C50" t="str">
        <x:v>L_0100_LU</x:v>
      </x:c>
      <x:c r="D50" t="str">
        <x:v>Internal</x:v>
      </x:c>
      <x:c r="E50" s="8" t="n">
        <x:v>46258</x:v>
      </x:c>
      <x:c r="F50" t="str">
        <x:v>Forward</x:v>
      </x:c>
      <x:c r="G50" t="str">
        <x:v>Buy</x:v>
      </x:c>
      <x:c r="H50" t="str">
        <x:v>CNY</x:v>
      </x:c>
      <x:c r="I50" s="9" t="n">
        <x:v>1400000</x:v>
      </x:c>
      <x:c r="J50" s="14" t="n">
        <x:v>7.70153</x:v>
      </x:c>
      <x:c r="K50" t="str">
        <x:v>EUR</x:v>
      </x:c>
      <x:c r="L50" s="9" t="n">
        <x:v>-181782.06</x:v>
      </x:c>
      <x:c r="M50" s="9" t="n">
        <x:v>7.8538</x:v>
      </x:c>
      <x:c r="N50" s="9" t="n">
        <x:v>-3524.4</x:v>
      </x:c>
      <x:c r="O50" s="9" t="n">
        <x:v>-178257.66</x:v>
      </x:c>
      <x:c r="P50" t="str">
        <x:v>FX-OP-UDL</x:v>
      </x:c>
    </x:row>
    <x:row r="51">
      <x:c r="A51" t="str">
        <x:v>FW-105589</x:v>
      </x:c>
      <x:c r="B51" t="str">
        <x:v>L_6129_DE</x:v>
      </x:c>
      <x:c r="C51" t="str">
        <x:v>L_0100_LU</x:v>
      </x:c>
      <x:c r="D51" t="str">
        <x:v>Internal</x:v>
      </x:c>
      <x:c r="E51" s="8" t="n">
        <x:v>46258</x:v>
      </x:c>
      <x:c r="F51" t="str">
        <x:v>Forward</x:v>
      </x:c>
      <x:c r="G51" t="str">
        <x:v>Buy</x:v>
      </x:c>
      <x:c r="H51" t="str">
        <x:v>CNY</x:v>
      </x:c>
      <x:c r="I51" s="9" t="n">
        <x:v>2300000</x:v>
      </x:c>
      <x:c r="J51" s="14" t="n">
        <x:v>7.69593</x:v>
      </x:c>
      <x:c r="K51" t="str">
        <x:v>EUR</x:v>
      </x:c>
      <x:c r="L51" s="9" t="n">
        <x:v>-298859.27</x:v>
      </x:c>
      <x:c r="M51" s="9" t="n">
        <x:v>7.8538</x:v>
      </x:c>
      <x:c r="N51" s="9" t="n">
        <x:v>-6007.4</x:v>
      </x:c>
      <x:c r="O51" s="9" t="n">
        <x:v>-292851.87</x:v>
      </x:c>
      <x:c r="P51" t="str">
        <x:v>FX-OP-UDL</x:v>
      </x:c>
    </x:row>
    <x:row r="52">
      <x:c r="A52" t="str">
        <x:v>FW-105594</x:v>
      </x:c>
      <x:c r="B52" t="str">
        <x:v>L_6129_DE</x:v>
      </x:c>
      <x:c r="C52" t="str">
        <x:v>L_0100_LU</x:v>
      </x:c>
      <x:c r="D52" t="str">
        <x:v>Internal</x:v>
      </x:c>
      <x:c r="E52" s="8" t="n">
        <x:v>46258</x:v>
      </x:c>
      <x:c r="F52" t="str">
        <x:v>Forward</x:v>
      </x:c>
      <x:c r="G52" t="str">
        <x:v>Buy</x:v>
      </x:c>
      <x:c r="H52" t="str">
        <x:v>HKD</x:v>
      </x:c>
      <x:c r="I52" s="9" t="n">
        <x:v>1000000</x:v>
      </x:c>
      <x:c r="J52" s="14" t="n">
        <x:v>8.92066</x:v>
      </x:c>
      <x:c r="K52" t="str">
        <x:v>EUR</x:v>
      </x:c>
      <x:c r="L52" s="9" t="n">
        <x:v>-112099.33</x:v>
      </x:c>
      <x:c r="M52" s="9" t="n">
        <x:v>9.1624</x:v>
      </x:c>
      <x:c r="N52" s="9" t="n">
        <x:v>-2957.62</x:v>
      </x:c>
      <x:c r="O52" s="9" t="n">
        <x:v>-109141.71</x:v>
      </x:c>
      <x:c r="P52" t="str">
        <x:v>FX-OP-UDL</x:v>
      </x:c>
    </x:row>
    <x:row r="53">
      <x:c r="A53" t="str">
        <x:v>FW-105611</x:v>
      </x:c>
      <x:c r="B53" t="str">
        <x:v>L_6129_DE</x:v>
      </x:c>
      <x:c r="C53" t="str">
        <x:v>L_0100_LU</x:v>
      </x:c>
      <x:c r="D53" t="str">
        <x:v>Internal</x:v>
      </x:c>
      <x:c r="E53" s="8" t="n">
        <x:v>46258</x:v>
      </x:c>
      <x:c r="F53" t="str">
        <x:v>Forward</x:v>
      </x:c>
      <x:c r="G53" t="str">
        <x:v>Buy</x:v>
      </x:c>
      <x:c r="H53" t="str">
        <x:v>CNY</x:v>
      </x:c>
      <x:c r="I53" s="9" t="n">
        <x:v>2500000</x:v>
      </x:c>
      <x:c r="J53" s="14" t="n">
        <x:v>7.68741</x:v>
      </x:c>
      <x:c r="K53" t="str">
        <x:v>EUR</x:v>
      </x:c>
      <x:c r="L53" s="9" t="n">
        <x:v>-325207.06</x:v>
      </x:c>
      <x:c r="M53" s="9" t="n">
        <x:v>7.8538</x:v>
      </x:c>
      <x:c r="N53" s="9" t="n">
        <x:v>-6889.81</x:v>
      </x:c>
      <x:c r="O53" s="9" t="n">
        <x:v>-318317.25</x:v>
      </x:c>
      <x:c r="P53" t="str">
        <x:v>FX-OP-UDL</x:v>
      </x:c>
    </x:row>
    <x:row r="54">
      <x:c r="A54" t="str">
        <x:v>FW-105614</x:v>
      </x:c>
      <x:c r="B54" t="str">
        <x:v>L_6129_DE</x:v>
      </x:c>
      <x:c r="C54" t="str">
        <x:v>L_0100_LU</x:v>
      </x:c>
      <x:c r="D54" t="str">
        <x:v>Internal</x:v>
      </x:c>
      <x:c r="E54" s="8" t="n">
        <x:v>46258</x:v>
      </x:c>
      <x:c r="F54" t="str">
        <x:v>Forward</x:v>
      </x:c>
      <x:c r="G54" t="str">
        <x:v>Buy</x:v>
      </x:c>
      <x:c r="H54" t="str">
        <x:v>HKD</x:v>
      </x:c>
      <x:c r="I54" s="9" t="n">
        <x:v>1500000</x:v>
      </x:c>
      <x:c r="J54" s="14" t="n">
        <x:v>8.92286</x:v>
      </x:c>
      <x:c r="K54" t="str">
        <x:v>EUR</x:v>
      </x:c>
      <x:c r="L54" s="9" t="n">
        <x:v>-168107.54</x:v>
      </x:c>
      <x:c r="M54" s="9" t="n">
        <x:v>9.1624</x:v>
      </x:c>
      <x:c r="N54" s="9" t="n">
        <x:v>-4394.97</x:v>
      </x:c>
      <x:c r="O54" s="9" t="n">
        <x:v>-163712.56</x:v>
      </x:c>
      <x:c r="P54" t="str">
        <x:v>FX-OP-UDL</x:v>
      </x:c>
    </x:row>
    <x:row r="55">
      <x:c r="A55" t="str">
        <x:v>FW-105620</x:v>
      </x:c>
      <x:c r="B55" t="str">
        <x:v>L_6129_DE</x:v>
      </x:c>
      <x:c r="C55" t="str">
        <x:v>L_0100_LU</x:v>
      </x:c>
      <x:c r="D55" t="str">
        <x:v>Internal</x:v>
      </x:c>
      <x:c r="E55" s="8" t="n">
        <x:v>46258</x:v>
      </x:c>
      <x:c r="F55" t="str">
        <x:v>Forward</x:v>
      </x:c>
      <x:c r="G55" t="str">
        <x:v>Buy</x:v>
      </x:c>
      <x:c r="H55" t="str">
        <x:v>USD</x:v>
      </x:c>
      <x:c r="I55" s="9" t="n">
        <x:v>230000</x:v>
      </x:c>
      <x:c r="J55" s="14" t="n">
        <x:v>1.141067</x:v>
      </x:c>
      <x:c r="K55" t="str">
        <x:v>EUR</x:v>
      </x:c>
      <x:c r="L55" s="9" t="n">
        <x:v>-201565.73</x:v>
      </x:c>
      <x:c r="M55" s="9" t="n">
        <x:v>1.1681</x:v>
      </x:c>
      <x:c r="N55" s="9" t="n">
        <x:v>-4664.78</x:v>
      </x:c>
      <x:c r="O55" s="9" t="n">
        <x:v>-196900.95</x:v>
      </x:c>
      <x:c r="P55" t="str">
        <x:v>FX-OP-UDL</x:v>
      </x:c>
    </x:row>
    <x:row r="56">
      <x:c r="A56" t="str">
        <x:v>FW-105634</x:v>
      </x:c>
      <x:c r="B56" t="str">
        <x:v>L_6129_DE</x:v>
      </x:c>
      <x:c r="C56" t="str">
        <x:v>L_0100_LU</x:v>
      </x:c>
      <x:c r="D56" t="str">
        <x:v>Internal</x:v>
      </x:c>
      <x:c r="E56" s="8" t="n">
        <x:v>46258</x:v>
      </x:c>
      <x:c r="F56" t="str">
        <x:v>Forward</x:v>
      </x:c>
      <x:c r="G56" t="str">
        <x:v>Buy</x:v>
      </x:c>
      <x:c r="H56" t="str">
        <x:v>CNY</x:v>
      </x:c>
      <x:c r="I56" s="9" t="n">
        <x:v>2500000</x:v>
      </x:c>
      <x:c r="J56" s="14" t="n">
        <x:v>7.6709</x:v>
      </x:c>
      <x:c r="K56" t="str">
        <x:v>EUR</x:v>
      </x:c>
      <x:c r="L56" s="9" t="n">
        <x:v>-325907</x:v>
      </x:c>
      <x:c r="M56" s="9" t="n">
        <x:v>7.8538</x:v>
      </x:c>
      <x:c r="N56" s="9" t="n">
        <x:v>-7589.75</x:v>
      </x:c>
      <x:c r="O56" s="9" t="n">
        <x:v>-318317.25</x:v>
      </x:c>
      <x:c r="P56" t="str">
        <x:v>FX-OP-UDL</x:v>
      </x:c>
    </x:row>
    <x:row r="57">
      <x:c r="A57" t="str">
        <x:v>FW-105639</x:v>
      </x:c>
      <x:c r="B57" t="str">
        <x:v>L_6129_DE</x:v>
      </x:c>
      <x:c r="C57" t="str">
        <x:v>L_0100_LU</x:v>
      </x:c>
      <x:c r="D57" t="str">
        <x:v>Internal</x:v>
      </x:c>
      <x:c r="E57" s="8" t="n">
        <x:v>46258</x:v>
      </x:c>
      <x:c r="F57" t="str">
        <x:v>Forward</x:v>
      </x:c>
      <x:c r="G57" t="str">
        <x:v>Sell</x:v>
      </x:c>
      <x:c r="H57" t="str">
        <x:v>GBP</x:v>
      </x:c>
      <x:c r="I57" s="9" t="n">
        <x:v>-120000</x:v>
      </x:c>
      <x:c r="J57" s="14" t="n">
        <x:v>0.8568</x:v>
      </x:c>
      <x:c r="K57" t="str">
        <x:v>EUR</x:v>
      </x:c>
      <x:c r="L57" s="9" t="n">
        <x:v>140056.02</x:v>
      </x:c>
      <x:c r="M57" s="9" t="n">
        <x:v>0.85725</x:v>
      </x:c>
      <x:c r="N57" s="9" t="n">
        <x:v>73.52</x:v>
      </x:c>
      <x:c r="O57" s="9" t="n">
        <x:v>139982.5</x:v>
      </x:c>
      <x:c r="P57" t="str">
        <x:v>FX-OP-UDL</x:v>
      </x:c>
    </x:row>
    <x:row r="58">
      <x:c r="A58" t="str">
        <x:v>FW-105642</x:v>
      </x:c>
      <x:c r="B58" t="str">
        <x:v>L_6129_DE</x:v>
      </x:c>
      <x:c r="C58" t="str">
        <x:v>L_0100_LU</x:v>
      </x:c>
      <x:c r="D58" t="str">
        <x:v>Internal</x:v>
      </x:c>
      <x:c r="E58" s="8" t="n">
        <x:v>46258</x:v>
      </x:c>
      <x:c r="F58" t="str">
        <x:v>Forward</x:v>
      </x:c>
      <x:c r="G58" t="str">
        <x:v>Buy</x:v>
      </x:c>
      <x:c r="H58" t="str">
        <x:v>THB</x:v>
      </x:c>
      <x:c r="I58" s="9" t="n">
        <x:v>3000000</x:v>
      </x:c>
      <x:c r="J58" s="14" t="n">
        <x:v>37.98</x:v>
      </x:c>
      <x:c r="K58" t="str">
        <x:v>EUR</x:v>
      </x:c>
      <x:c r="L58" s="9" t="n">
        <x:v>-78988.94</x:v>
      </x:c>
      <x:c r="M58" s="9" t="n">
        <x:v>38.448</x:v>
      </x:c>
      <x:c r="N58" s="9" t="n">
        <x:v>-961.48</x:v>
      </x:c>
      <x:c r="O58" s="9" t="n">
        <x:v>-78027.47</x:v>
      </x:c>
      <x:c r="P58" t="str">
        <x:v>FX-OP-UDL</x:v>
      </x:c>
    </x:row>
    <x:row r="59">
      <x:c r="A59" t="str">
        <x:v>NDF-105647</x:v>
      </x:c>
      <x:c r="B59" t="str">
        <x:v>L_6129_DE</x:v>
      </x:c>
      <x:c r="C59" t="str">
        <x:v>L_0100_LU</x:v>
      </x:c>
      <x:c r="D59" t="str">
        <x:v>Internal</x:v>
      </x:c>
      <x:c r="E59" s="8" t="n">
        <x:v>46258</x:v>
      </x:c>
      <x:c r="F59" t="str">
        <x:v>Non Delivery Forward</x:v>
      </x:c>
      <x:c r="G59" t="str">
        <x:v>Buy</x:v>
      </x:c>
      <x:c r="H59" t="str">
        <x:v>INR</x:v>
      </x:c>
      <x:c r="I59" s="9" t="n">
        <x:v>22000000</x:v>
      </x:c>
      <x:c r="J59" s="14" t="n">
        <x:v>108.69</x:v>
      </x:c>
      <x:c r="K59" t="str">
        <x:v>EUR</x:v>
      </x:c>
      <x:c r="L59" s="9" t="n">
        <x:v>-202410.53</x:v>
      </x:c>
      <x:c r="M59" s="9" t="n">
        <x:v>111.7985</x:v>
      </x:c>
      <x:c r="N59" s="9" t="n">
        <x:v>-5627.92</x:v>
      </x:c>
      <x:c r="O59" s="9" t="n">
        <x:v>-196782.6</x:v>
      </x:c>
      <x:c r="P59" t="str">
        <x:v>FX-OP-UDL</x:v>
      </x:c>
    </x:row>
    <x:row r="60">
      <x:c r="A60" t="str">
        <x:v>FW-105671</x:v>
      </x:c>
      <x:c r="B60" t="str">
        <x:v>L_6129_DE</x:v>
      </x:c>
      <x:c r="C60" t="str">
        <x:v>L_0100_LU</x:v>
      </x:c>
      <x:c r="D60" t="str">
        <x:v>Internal</x:v>
      </x:c>
      <x:c r="E60" s="8" t="n">
        <x:v>46258</x:v>
      </x:c>
      <x:c r="F60" t="str">
        <x:v>Forward</x:v>
      </x:c>
      <x:c r="G60" t="str">
        <x:v>Buy</x:v>
      </x:c>
      <x:c r="H60" t="str">
        <x:v>USD</x:v>
      </x:c>
      <x:c r="I60" s="9" t="n">
        <x:v>100000</x:v>
      </x:c>
      <x:c r="J60" s="14" t="n">
        <x:v>1.138</x:v>
      </x:c>
      <x:c r="K60" t="str">
        <x:v>EUR</x:v>
      </x:c>
      <x:c r="L60" s="9" t="n">
        <x:v>-87873.46</x:v>
      </x:c>
      <x:c r="M60" s="9" t="n">
        <x:v>1.1681</x:v>
      </x:c>
      <x:c r="N60" s="9" t="n">
        <x:v>-2264.35</x:v>
      </x:c>
      <x:c r="O60" s="9" t="n">
        <x:v>-85609.11</x:v>
      </x:c>
      <x:c r="P60" t="str">
        <x:v>FX-OP-UDL</x:v>
      </x:c>
    </x:row>
    <x:row r="61">
      <x:c r="A61" t="str">
        <x:v>FW-105674</x:v>
      </x:c>
      <x:c r="B61" t="str">
        <x:v>L_6129_DE</x:v>
      </x:c>
      <x:c r="C61" t="str">
        <x:v>L_0100_LU</x:v>
      </x:c>
      <x:c r="D61" t="str">
        <x:v>Internal</x:v>
      </x:c>
      <x:c r="E61" s="8" t="n">
        <x:v>46258</x:v>
      </x:c>
      <x:c r="F61" t="str">
        <x:v>Forward</x:v>
      </x:c>
      <x:c r="G61" t="str">
        <x:v>Sell</x:v>
      </x:c>
      <x:c r="H61" t="str">
        <x:v>GBP</x:v>
      </x:c>
      <x:c r="I61" s="9" t="n">
        <x:v>-100000</x:v>
      </x:c>
      <x:c r="J61" s="14" t="n">
        <x:v>0.8581</x:v>
      </x:c>
      <x:c r="K61" t="str">
        <x:v>EUR</x:v>
      </x:c>
      <x:c r="L61" s="9" t="n">
        <x:v>116536.53</x:v>
      </x:c>
      <x:c r="M61" s="9" t="n">
        <x:v>0.85725</x:v>
      </x:c>
      <x:c r="N61" s="9" t="n">
        <x:v>-115.55</x:v>
      </x:c>
      <x:c r="O61" s="9" t="n">
        <x:v>116652.09</x:v>
      </x:c>
      <x:c r="P61" t="str">
        <x:v>FX-OP-UDL</x:v>
      </x:c>
    </x:row>
    <x:row r="62">
      <x:c r="A62" t="str">
        <x:v>FW-105677</x:v>
      </x:c>
      <x:c r="B62" t="str">
        <x:v>L_6129_DE</x:v>
      </x:c>
      <x:c r="C62" t="str">
        <x:v>L_0100_LU</x:v>
      </x:c>
      <x:c r="D62" t="str">
        <x:v>Internal</x:v>
      </x:c>
      <x:c r="E62" s="8" t="n">
        <x:v>46258</x:v>
      </x:c>
      <x:c r="F62" t="str">
        <x:v>Forward</x:v>
      </x:c>
      <x:c r="G62" t="str">
        <x:v>Buy</x:v>
      </x:c>
      <x:c r="H62" t="str">
        <x:v>HKD</x:v>
      </x:c>
      <x:c r="I62" s="9" t="n">
        <x:v>1000000</x:v>
      </x:c>
      <x:c r="J62" s="14" t="n">
        <x:v>8.9142</x:v>
      </x:c>
      <x:c r="K62" t="str">
        <x:v>EUR</x:v>
      </x:c>
      <x:c r="L62" s="9" t="n">
        <x:v>-112180.57</x:v>
      </x:c>
      <x:c r="M62" s="9" t="n">
        <x:v>9.1624</x:v>
      </x:c>
      <x:c r="N62" s="9" t="n">
        <x:v>-3038.86</x:v>
      </x:c>
      <x:c r="O62" s="9" t="n">
        <x:v>-109141.71</x:v>
      </x:c>
      <x:c r="P62" t="str">
        <x:v>FX-OP-UDL</x:v>
      </x:c>
    </x:row>
    <x:row r="63">
      <x:c r="A63" t="str">
        <x:v>NDF-105682</x:v>
      </x:c>
      <x:c r="B63" t="str">
        <x:v>L_6129_DE</x:v>
      </x:c>
      <x:c r="C63" t="str">
        <x:v>L_0100_LU</x:v>
      </x:c>
      <x:c r="D63" t="str">
        <x:v>Internal</x:v>
      </x:c>
      <x:c r="E63" s="8" t="n">
        <x:v>46258</x:v>
      </x:c>
      <x:c r="F63" t="str">
        <x:v>Non Delivery Forward</x:v>
      </x:c>
      <x:c r="G63" t="str">
        <x:v>Buy</x:v>
      </x:c>
      <x:c r="H63" t="str">
        <x:v>INR</x:v>
      </x:c>
      <x:c r="I63" s="9" t="n">
        <x:v>10000000</x:v>
      </x:c>
      <x:c r="J63" s="14" t="n">
        <x:v>108.74</x:v>
      </x:c>
      <x:c r="K63" t="str">
        <x:v>EUR</x:v>
      </x:c>
      <x:c r="L63" s="9" t="n">
        <x:v>-91962.48</x:v>
      </x:c>
      <x:c r="M63" s="9" t="n">
        <x:v>111.7985</x:v>
      </x:c>
      <x:c r="N63" s="9" t="n">
        <x:v>-2515.84</x:v>
      </x:c>
      <x:c r="O63" s="9" t="n">
        <x:v>-89446.64</x:v>
      </x:c>
      <x:c r="P63" t="str">
        <x:v>FX-OP-UDL</x:v>
      </x:c>
    </x:row>
    <x:row r="64">
      <x:c r="A64" t="str">
        <x:v>FW-105688</x:v>
      </x:c>
      <x:c r="B64" t="str">
        <x:v>L_6129_DE</x:v>
      </x:c>
      <x:c r="C64" t="str">
        <x:v>L_0100_LU</x:v>
      </x:c>
      <x:c r="D64" t="str">
        <x:v>Internal</x:v>
      </x:c>
      <x:c r="E64" s="8" t="n">
        <x:v>46258</x:v>
      </x:c>
      <x:c r="F64" t="str">
        <x:v>Forward</x:v>
      </x:c>
      <x:c r="G64" t="str">
        <x:v>Buy</x:v>
      </x:c>
      <x:c r="H64" t="str">
        <x:v>CNY</x:v>
      </x:c>
      <x:c r="I64" s="9" t="n">
        <x:v>800000</x:v>
      </x:c>
      <x:c r="J64" s="14" t="n">
        <x:v>7.6969</x:v>
      </x:c>
      <x:c r="K64" t="str">
        <x:v>EUR</x:v>
      </x:c>
      <x:c r="L64" s="9" t="n">
        <x:v>-103937.95</x:v>
      </x:c>
      <x:c r="M64" s="9" t="n">
        <x:v>7.8538</x:v>
      </x:c>
      <x:c r="N64" s="9" t="n">
        <x:v>-2076.43</x:v>
      </x:c>
      <x:c r="O64" s="9" t="n">
        <x:v>-101861.52</x:v>
      </x:c>
      <x:c r="P64" t="str">
        <x:v>FX-OP-UDL</x:v>
      </x:c>
    </x:row>
    <x:row r="65">
      <x:c r="A65" t="str">
        <x:v>FW-105701</x:v>
      </x:c>
      <x:c r="B65" t="str">
        <x:v>L_6129_DE</x:v>
      </x:c>
      <x:c r="C65" t="str">
        <x:v>L_0100_LU</x:v>
      </x:c>
      <x:c r="D65" t="str">
        <x:v>Internal</x:v>
      </x:c>
      <x:c r="E65" s="8" t="n">
        <x:v>46258</x:v>
      </x:c>
      <x:c r="F65" t="str">
        <x:v>Forward</x:v>
      </x:c>
      <x:c r="G65" t="str">
        <x:v>Buy</x:v>
      </x:c>
      <x:c r="H65" t="str">
        <x:v>AUD</x:v>
      </x:c>
      <x:c r="I65" s="9" t="n">
        <x:v>350000</x:v>
      </x:c>
      <x:c r="J65" s="14" t="n">
        <x:v>1.646905</x:v>
      </x:c>
      <x:c r="K65" t="str">
        <x:v>EUR</x:v>
      </x:c>
      <x:c r="L65" s="9" t="n">
        <x:v>-212519.85</x:v>
      </x:c>
      <x:c r="M65" s="9" t="n">
        <x:v>1.6438</x:v>
      </x:c>
      <x:c r="N65" s="9" t="n">
        <x:v>401.43</x:v>
      </x:c>
      <x:c r="O65" s="9" t="n">
        <x:v>-212921.28</x:v>
      </x:c>
      <x:c r="P65" t="str">
        <x:v>FX-OP-UDL</x:v>
      </x:c>
    </x:row>
    <x:row r="66">
      <x:c r="A66" t="str">
        <x:v>FW-105710</x:v>
      </x:c>
      <x:c r="B66" t="str">
        <x:v>L_6129_DE</x:v>
      </x:c>
      <x:c r="C66" t="str">
        <x:v>L_0100_LU</x:v>
      </x:c>
      <x:c r="D66" t="str">
        <x:v>Internal</x:v>
      </x:c>
      <x:c r="E66" s="8" t="n">
        <x:v>46258</x:v>
      </x:c>
      <x:c r="F66" t="str">
        <x:v>Forward</x:v>
      </x:c>
      <x:c r="G66" t="str">
        <x:v>Sell</x:v>
      </x:c>
      <x:c r="H66" t="str">
        <x:v>GBP</x:v>
      </x:c>
      <x:c r="I66" s="9" t="n">
        <x:v>-150000</x:v>
      </x:c>
      <x:c r="J66" s="14" t="n">
        <x:v>0.8582</x:v>
      </x:c>
      <x:c r="K66" t="str">
        <x:v>EUR</x:v>
      </x:c>
      <x:c r="L66" s="9" t="n">
        <x:v>174784.43</x:v>
      </x:c>
      <x:c r="M66" s="9" t="n">
        <x:v>0.85725</x:v>
      </x:c>
      <x:c r="N66" s="9" t="n">
        <x:v>-193.7</x:v>
      </x:c>
      <x:c r="O66" s="9" t="n">
        <x:v>174978.13</x:v>
      </x:c>
      <x:c r="P66" t="str">
        <x:v>FX-OP-UDL</x:v>
      </x:c>
    </x:row>
    <x:row r="67">
      <x:c r="A67" t="str">
        <x:v>NDF-105715</x:v>
      </x:c>
      <x:c r="B67" t="str">
        <x:v>L_6129_DE</x:v>
      </x:c>
      <x:c r="C67" t="str">
        <x:v>L_0100_LU</x:v>
      </x:c>
      <x:c r="D67" t="str">
        <x:v>Internal</x:v>
      </x:c>
      <x:c r="E67" s="8" t="n">
        <x:v>46258</x:v>
      </x:c>
      <x:c r="F67" t="str">
        <x:v>Non Delivery Forward</x:v>
      </x:c>
      <x:c r="G67" t="str">
        <x:v>Buy</x:v>
      </x:c>
      <x:c r="H67" t="str">
        <x:v>INR</x:v>
      </x:c>
      <x:c r="I67" s="9" t="n">
        <x:v>18000000</x:v>
      </x:c>
      <x:c r="J67" s="14" t="n">
        <x:v>109.51</x:v>
      </x:c>
      <x:c r="K67" t="str">
        <x:v>EUR</x:v>
      </x:c>
      <x:c r="L67" s="9" t="n">
        <x:v>-164368.55</x:v>
      </x:c>
      <x:c r="M67" s="9" t="n">
        <x:v>111.7985</x:v>
      </x:c>
      <x:c r="N67" s="9" t="n">
        <x:v>-3364.6</x:v>
      </x:c>
      <x:c r="O67" s="9" t="n">
        <x:v>-161003.95</x:v>
      </x:c>
      <x:c r="P67" t="str">
        <x:v>FX-OP-UDL</x:v>
      </x:c>
    </x:row>
    <x:row r="68">
      <x:c r="A68" t="str">
        <x:v>FW-105718</x:v>
      </x:c>
      <x:c r="B68" t="str">
        <x:v>L_6129_DE</x:v>
      </x:c>
      <x:c r="C68" t="str">
        <x:v>L_0100_LU</x:v>
      </x:c>
      <x:c r="D68" t="str">
        <x:v>Internal</x:v>
      </x:c>
      <x:c r="E68" s="8" t="n">
        <x:v>46258</x:v>
      </x:c>
      <x:c r="F68" t="str">
        <x:v>Forward</x:v>
      </x:c>
      <x:c r="G68" t="str">
        <x:v>Buy</x:v>
      </x:c>
      <x:c r="H68" t="str">
        <x:v>PLN</x:v>
      </x:c>
      <x:c r="I68" s="9" t="n">
        <x:v>300000</x:v>
      </x:c>
      <x:c r="J68" s="14" t="n">
        <x:v>4.306</x:v>
      </x:c>
      <x:c r="K68" t="str">
        <x:v>EUR</x:v>
      </x:c>
      <x:c r="L68" s="9" t="n">
        <x:v>-69670.23</x:v>
      </x:c>
      <x:c r="M68" s="9" t="n">
        <x:v>4.3188</x:v>
      </x:c>
      <x:c r="N68" s="9" t="n">
        <x:v>-206.49</x:v>
      </x:c>
      <x:c r="O68" s="9" t="n">
        <x:v>-69463.74</x:v>
      </x:c>
      <x:c r="P68" t="str">
        <x:v>FX-OP-UDL</x:v>
      </x:c>
    </x:row>
    <x:row r="69">
      <x:c r="A69" t="str">
        <x:v>FW-105741</x:v>
      </x:c>
      <x:c r="B69" t="str">
        <x:v>L_6129_DE</x:v>
      </x:c>
      <x:c r="C69" t="str">
        <x:v>L_0100_LU</x:v>
      </x:c>
      <x:c r="D69" t="str">
        <x:v>Internal</x:v>
      </x:c>
      <x:c r="E69" s="8" t="n">
        <x:v>46258</x:v>
      </x:c>
      <x:c r="F69" t="str">
        <x:v>Forward</x:v>
      </x:c>
      <x:c r="G69" t="str">
        <x:v>Buy</x:v>
      </x:c>
      <x:c r="H69" t="str">
        <x:v>CNY</x:v>
      </x:c>
      <x:c r="I69" s="9" t="n">
        <x:v>2500000</x:v>
      </x:c>
      <x:c r="J69" s="14" t="n">
        <x:v>7.7362</x:v>
      </x:c>
      <x:c r="K69" t="str">
        <x:v>EUR</x:v>
      </x:c>
      <x:c r="L69" s="9" t="n">
        <x:v>-323156.07</x:v>
      </x:c>
      <x:c r="M69" s="9" t="n">
        <x:v>7.8538</x:v>
      </x:c>
      <x:c r="N69" s="9" t="n">
        <x:v>-4838.82</x:v>
      </x:c>
      <x:c r="O69" s="9" t="n">
        <x:v>-318317.25</x:v>
      </x:c>
      <x:c r="P69" t="str">
        <x:v>FX-OP-UDL</x:v>
      </x:c>
    </x:row>
    <x:row r="70">
      <x:c r="A70" t="str">
        <x:v>FW-105748</x:v>
      </x:c>
      <x:c r="B70" t="str">
        <x:v>L_6129_DE</x:v>
      </x:c>
      <x:c r="C70" t="str">
        <x:v>L_0100_LU</x:v>
      </x:c>
      <x:c r="D70" t="str">
        <x:v>Internal</x:v>
      </x:c>
      <x:c r="E70" s="8" t="n">
        <x:v>46258</x:v>
      </x:c>
      <x:c r="F70" t="str">
        <x:v>Forward</x:v>
      </x:c>
      <x:c r="G70" t="str">
        <x:v>Buy</x:v>
      </x:c>
      <x:c r="H70" t="str">
        <x:v>SAR</x:v>
      </x:c>
      <x:c r="I70" s="9" t="n">
        <x:v>950000</x:v>
      </x:c>
      <x:c r="J70" s="14" t="n">
        <x:v>4.3081</x:v>
      </x:c>
      <x:c r="K70" t="str">
        <x:v>EUR</x:v>
      </x:c>
      <x:c r="L70" s="9" t="n">
        <x:v>-220514.84</x:v>
      </x:c>
      <x:c r="M70" s="9" t="n">
        <x:v>4.380375</x:v>
      </x:c>
      <x:c r="N70" s="9" t="n">
        <x:v>-3638.44</x:v>
      </x:c>
      <x:c r="O70" s="9" t="n">
        <x:v>-216876.41</x:v>
      </x:c>
      <x:c r="P70" t="str">
        <x:v>FX-OP-UDL</x:v>
      </x:c>
    </x:row>
    <x:row r="71">
      <x:c r="A71" t="str">
        <x:v>FW-105751</x:v>
      </x:c>
      <x:c r="B71" t="str">
        <x:v>L_6129_DE</x:v>
      </x:c>
      <x:c r="C71" t="str">
        <x:v>L_0100_LU</x:v>
      </x:c>
      <x:c r="D71" t="str">
        <x:v>Internal</x:v>
      </x:c>
      <x:c r="E71" s="8" t="n">
        <x:v>46258</x:v>
      </x:c>
      <x:c r="F71" t="str">
        <x:v>Forward</x:v>
      </x:c>
      <x:c r="G71" t="str">
        <x:v>Buy</x:v>
      </x:c>
      <x:c r="H71" t="str">
        <x:v>HKD</x:v>
      </x:c>
      <x:c r="I71" s="9" t="n">
        <x:v>2000000</x:v>
      </x:c>
      <x:c r="J71" s="14" t="n">
        <x:v>8.999</x:v>
      </x:c>
      <x:c r="K71" t="str">
        <x:v>EUR</x:v>
      </x:c>
      <x:c r="L71" s="9" t="n">
        <x:v>-222246.92</x:v>
      </x:c>
      <x:c r="M71" s="9" t="n">
        <x:v>9.1624</x:v>
      </x:c>
      <x:c r="N71" s="9" t="n">
        <x:v>-3963.5</x:v>
      </x:c>
      <x:c r="O71" s="9" t="n">
        <x:v>-218283.42</x:v>
      </x:c>
      <x:c r="P71" t="str">
        <x:v>FX-OP-UDL</x:v>
      </x:c>
    </x:row>
    <x:row r="72">
      <x:c r="A72" t="str">
        <x:v>FW-105754</x:v>
      </x:c>
      <x:c r="B72" t="str">
        <x:v>L_6129_DE</x:v>
      </x:c>
      <x:c r="C72" t="str">
        <x:v>L_0100_LU</x:v>
      </x:c>
      <x:c r="D72" t="str">
        <x:v>Internal</x:v>
      </x:c>
      <x:c r="E72" s="8" t="n">
        <x:v>46258</x:v>
      </x:c>
      <x:c r="F72" t="str">
        <x:v>Forward</x:v>
      </x:c>
      <x:c r="G72" t="str">
        <x:v>Sell</x:v>
      </x:c>
      <x:c r="H72" t="str">
        <x:v>SGD</x:v>
      </x:c>
      <x:c r="I72" s="9" t="n">
        <x:v>-120000</x:v>
      </x:c>
      <x:c r="J72" s="14" t="n">
        <x:v>1.4765</x:v>
      </x:c>
      <x:c r="K72" t="str">
        <x:v>EUR</x:v>
      </x:c>
      <x:c r="L72" s="9" t="n">
        <x:v>81273.28</x:v>
      </x:c>
      <x:c r="M72" s="9" t="n">
        <x:v>1.486</x:v>
      </x:c>
      <x:c r="N72" s="9" t="n">
        <x:v>519.58</x:v>
      </x:c>
      <x:c r="O72" s="9" t="n">
        <x:v>80753.7</x:v>
      </x:c>
      <x:c r="P72" t="str">
        <x:v>FX-OP-UDL</x:v>
      </x:c>
    </x:row>
    <x:row r="73">
      <x:c r="A73" t="str">
        <x:v>FW-105764</x:v>
      </x:c>
      <x:c r="B73" t="str">
        <x:v>L_6129_DE</x:v>
      </x:c>
      <x:c r="C73" t="str">
        <x:v>L_0100_LU</x:v>
      </x:c>
      <x:c r="D73" t="str">
        <x:v>Internal</x:v>
      </x:c>
      <x:c r="E73" s="8" t="n">
        <x:v>46258</x:v>
      </x:c>
      <x:c r="F73" t="str">
        <x:v>Forward</x:v>
      </x:c>
      <x:c r="G73" t="str">
        <x:v>Buy</x:v>
      </x:c>
      <x:c r="H73" t="str">
        <x:v>CNY</x:v>
      </x:c>
      <x:c r="I73" s="9" t="n">
        <x:v>1000000</x:v>
      </x:c>
      <x:c r="J73" s="14" t="n">
        <x:v>7.7663</x:v>
      </x:c>
      <x:c r="K73" t="str">
        <x:v>EUR</x:v>
      </x:c>
      <x:c r="L73" s="9" t="n">
        <x:v>-128761.44</x:v>
      </x:c>
      <x:c r="M73" s="9" t="n">
        <x:v>7.8538</x:v>
      </x:c>
      <x:c r="N73" s="9" t="n">
        <x:v>-1434.54</x:v>
      </x:c>
      <x:c r="O73" s="9" t="n">
        <x:v>-127326.9</x:v>
      </x:c>
      <x:c r="P73" t="str">
        <x:v>FX-OP-UDL</x:v>
      </x:c>
    </x:row>
    <x:row r="74">
      <x:c r="A74" t="str">
        <x:v>FW-105767</x:v>
      </x:c>
      <x:c r="B74" t="str">
        <x:v>L_6129_DE</x:v>
      </x:c>
      <x:c r="C74" t="str">
        <x:v>L_0100_LU</x:v>
      </x:c>
      <x:c r="D74" t="str">
        <x:v>Internal</x:v>
      </x:c>
      <x:c r="E74" s="8" t="n">
        <x:v>46258</x:v>
      </x:c>
      <x:c r="F74" t="str">
        <x:v>Forward</x:v>
      </x:c>
      <x:c r="G74" t="str">
        <x:v>Buy</x:v>
      </x:c>
      <x:c r="H74" t="str">
        <x:v>HKD</x:v>
      </x:c>
      <x:c r="I74" s="9" t="n">
        <x:v>800000</x:v>
      </x:c>
      <x:c r="J74" s="14" t="n">
        <x:v>9.0317</x:v>
      </x:c>
      <x:c r="K74" t="str">
        <x:v>EUR</x:v>
      </x:c>
      <x:c r="L74" s="9" t="n">
        <x:v>-88576.9</x:v>
      </x:c>
      <x:c r="M74" s="9" t="n">
        <x:v>9.1624</x:v>
      </x:c>
      <x:c r="N74" s="9" t="n">
        <x:v>-1263.53</x:v>
      </x:c>
      <x:c r="O74" s="9" t="n">
        <x:v>-87313.37</x:v>
      </x:c>
      <x:c r="P74" t="str">
        <x:v>FX-OP-UDL</x:v>
      </x:c>
    </x:row>
    <x:row r="75">
      <x:c r="A75" t="str">
        <x:v>FW-105770</x:v>
      </x:c>
      <x:c r="B75" t="str">
        <x:v>L_6129_DE</x:v>
      </x:c>
      <x:c r="C75" t="str">
        <x:v>L_0100_LU</x:v>
      </x:c>
      <x:c r="D75" t="str">
        <x:v>Internal</x:v>
      </x:c>
      <x:c r="E75" s="8" t="n">
        <x:v>46258</x:v>
      </x:c>
      <x:c r="F75" t="str">
        <x:v>Forward</x:v>
      </x:c>
      <x:c r="G75" t="str">
        <x:v>Buy</x:v>
      </x:c>
      <x:c r="H75" t="str">
        <x:v>THB</x:v>
      </x:c>
      <x:c r="I75" s="9" t="n">
        <x:v>2500000</x:v>
      </x:c>
      <x:c r="J75" s="14" t="n">
        <x:v>38.17</x:v>
      </x:c>
      <x:c r="K75" t="str">
        <x:v>EUR</x:v>
      </x:c>
      <x:c r="L75" s="9" t="n">
        <x:v>-65496.46</x:v>
      </x:c>
      <x:c r="M75" s="9" t="n">
        <x:v>38.448</x:v>
      </x:c>
      <x:c r="N75" s="9" t="n">
        <x:v>-473.58</x:v>
      </x:c>
      <x:c r="O75" s="9" t="n">
        <x:v>-65022.89</x:v>
      </x:c>
      <x:c r="P75" t="str">
        <x:v>FX-OP-UDL</x:v>
      </x:c>
    </x:row>
    <x:row r="76">
      <x:c r="A76" t="str">
        <x:v>FW-105779</x:v>
      </x:c>
      <x:c r="B76" t="str">
        <x:v>L_6129_DE</x:v>
      </x:c>
      <x:c r="C76" t="str">
        <x:v>L_0100_LU</x:v>
      </x:c>
      <x:c r="D76" t="str">
        <x:v>Internal</x:v>
      </x:c>
      <x:c r="E76" s="8" t="n">
        <x:v>46258</x:v>
      </x:c>
      <x:c r="F76" t="str">
        <x:v>Forward</x:v>
      </x:c>
      <x:c r="G76" t="str">
        <x:v>Buy</x:v>
      </x:c>
      <x:c r="H76" t="str">
        <x:v>USD</x:v>
      </x:c>
      <x:c r="I76" s="9" t="n">
        <x:v>480000</x:v>
      </x:c>
      <x:c r="J76" s="14" t="n">
        <x:v>1.152305</x:v>
      </x:c>
      <x:c r="K76" t="str">
        <x:v>EUR</x:v>
      </x:c>
      <x:c r="L76" s="9" t="n">
        <x:v>-416556.38</x:v>
      </x:c>
      <x:c r="M76" s="9" t="n">
        <x:v>1.1681</x:v>
      </x:c>
      <x:c r="N76" s="9" t="n">
        <x:v>-5632.66</x:v>
      </x:c>
      <x:c r="O76" s="9" t="n">
        <x:v>-410923.72</x:v>
      </x:c>
      <x:c r="P76" t="str">
        <x:v>FX-OP-UDL</x:v>
      </x:c>
    </x:row>
    <x:row r="77">
      <x:c r="A77" t="str">
        <x:v>NDF-105871</x:v>
      </x:c>
      <x:c r="B77" t="str">
        <x:v>L_6129_DE</x:v>
      </x:c>
      <x:c r="C77" t="str">
        <x:v>L_0100_LU</x:v>
      </x:c>
      <x:c r="D77" t="str">
        <x:v>Internal</x:v>
      </x:c>
      <x:c r="E77" s="8" t="n">
        <x:v>46258</x:v>
      </x:c>
      <x:c r="F77" t="str">
        <x:v>Non Delivery Forward</x:v>
      </x:c>
      <x:c r="G77" t="str">
        <x:v>Buy</x:v>
      </x:c>
      <x:c r="H77" t="str">
        <x:v>KRW</x:v>
      </x:c>
      <x:c r="I77" s="9" t="n">
        <x:v>670000000</x:v>
      </x:c>
      <x:c r="J77" s="14" t="n">
        <x:v>1636</x:v>
      </x:c>
      <x:c r="K77" t="str">
        <x:v>EUR</x:v>
      </x:c>
      <x:c r="L77" s="9" t="n">
        <x:v>-409535.45</x:v>
      </x:c>
      <x:c r="M77" s="9" t="n">
        <x:v>1631.08</x:v>
      </x:c>
      <x:c r="N77" s="9" t="n">
        <x:v>1235.33</x:v>
      </x:c>
      <x:c r="O77" s="9" t="n">
        <x:v>-410770.78</x:v>
      </x:c>
      <x:c r="P77" t="str">
        <x:v>FX-OP-UDL</x:v>
      </x:c>
    </x:row>
    <x:row r="78">
      <x:c r="A78" t="str">
        <x:v>NDF-105986</x:v>
      </x:c>
      <x:c r="B78" t="str">
        <x:v>L_6129_DE</x:v>
      </x:c>
      <x:c r="C78" t="str">
        <x:v>L_0100_LU</x:v>
      </x:c>
      <x:c r="D78" t="str">
        <x:v>Internal</x:v>
      </x:c>
      <x:c r="E78" s="8" t="n">
        <x:v>46258</x:v>
      </x:c>
      <x:c r="F78" t="str">
        <x:v>Non Delivery Forward</x:v>
      </x:c>
      <x:c r="G78" t="str">
        <x:v>Sell</x:v>
      </x:c>
      <x:c r="H78" t="str">
        <x:v>INR</x:v>
      </x:c>
      <x:c r="I78" s="9" t="n">
        <x:v>-17400000</x:v>
      </x:c>
      <x:c r="J78" s="14" t="n">
        <x:v>110.68</x:v>
      </x:c>
      <x:c r="K78" t="str">
        <x:v>EUR</x:v>
      </x:c>
      <x:c r="L78" s="9" t="n">
        <x:v>157209.97</x:v>
      </x:c>
      <x:c r="M78" s="9" t="n">
        <x:v>111.7985</x:v>
      </x:c>
      <x:c r="N78" s="9" t="n">
        <x:v>1572.82</x:v>
      </x:c>
      <x:c r="O78" s="9" t="n">
        <x:v>155637.15</x:v>
      </x:c>
      <x:c r="P78" t="str">
        <x:v>FX-OP-UDL</x:v>
      </x:c>
    </x:row>
    <x:row r="79">
      <x:c r="A79" t="str">
        <x:v>FW-106153</x:v>
      </x:c>
      <x:c r="B79" t="str">
        <x:v>L_6129_DE</x:v>
      </x:c>
      <x:c r="C79" t="str">
        <x:v>L_0100_LU</x:v>
      </x:c>
      <x:c r="D79" t="str">
        <x:v>Internal</x:v>
      </x:c>
      <x:c r="E79" s="8" t="n">
        <x:v>46258</x:v>
      </x:c>
      <x:c r="F79" t="str">
        <x:v>Forward</x:v>
      </x:c>
      <x:c r="G79" t="str">
        <x:v>Buy</x:v>
      </x:c>
      <x:c r="H79" t="str">
        <x:v>USD</x:v>
      </x:c>
      <x:c r="I79" s="9" t="n">
        <x:v>450000</x:v>
      </x:c>
      <x:c r="J79" s="14" t="n">
        <x:v>1.159737</x:v>
      </x:c>
      <x:c r="K79" t="str">
        <x:v>EUR</x:v>
      </x:c>
      <x:c r="L79" s="9" t="n">
        <x:v>-388019.01</x:v>
      </x:c>
      <x:c r="M79" s="9" t="n">
        <x:v>1.1681</x:v>
      </x:c>
      <x:c r="N79" s="9" t="n">
        <x:v>-2778.02</x:v>
      </x:c>
      <x:c r="O79" s="9" t="n">
        <x:v>-385240.99</x:v>
      </x:c>
      <x:c r="P79" t="str">
        <x:v>FX-OP-UDL</x:v>
      </x:c>
    </x:row>
  </x:sheetData>
  <x:pageMargins left="0.7" right="0.7" top="0.75" bottom="0.75" header="0.3" footer="0.3"/>
</x:worksheet>
</file>