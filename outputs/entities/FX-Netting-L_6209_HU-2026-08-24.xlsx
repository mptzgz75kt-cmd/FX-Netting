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d2534bd76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ting" sheetId="1" r:id="R5d04b8623dfd4a2c"/>
    <x:sheet xmlns:r="http://schemas.openxmlformats.org/officeDocument/2006/relationships" name="Details" sheetId="2" r:id="Rfa8a751c4b6941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-#,##0.00;-"/>
    <x:numFmt numFmtId="202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>
      <x:top style="medium">
        <x:color rgb="FF17365D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1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78dbb83554ecc" /><Relationship Type="http://schemas.openxmlformats.org/officeDocument/2006/relationships/theme" Target="/xl/theme/theme1.xml" Id="Rac90ffe965b64a63" /><Relationship Type="http://schemas.openxmlformats.org/officeDocument/2006/relationships/sharedStrings" Target="/xl/sharedStrings.xml" Id="R2d8c0c692459455e" /><Relationship Type="http://schemas.openxmlformats.org/officeDocument/2006/relationships/worksheet" Target="/xl/worksheets/sheet1.xml" Id="R5d04b8623dfd4a2c" /><Relationship Type="http://schemas.openxmlformats.org/officeDocument/2006/relationships/worksheet" Target="/xl/worksheets/sheet2.xml" Id="Rfa8a751c4b6941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0" hidden="0" customWidth="1"/>
    <x:col min="5" max="5" width="10" hidden="0" customWidth="1"/>
    <x:col min="6" max="6" width="20" hidden="0" customWidth="1"/>
  </x:cols>
  <x:sheetData>
    <x:row r="1">
      <x:c r="A1" s="2" t="str">
        <x:v>FX Netting – L_6209_HU</x:v>
      </x:c>
      <x:c r="B1" s="2"/>
      <x:c r="C1" s="2"/>
      <x:c r="D1" s="2"/>
      <x:c r="E1" s="2"/>
      <x:c r="F1" s="2"/>
    </x:row>
    <x:row r="2">
      <x:c r="A2" s="4" t="str">
        <x:v>Summierung von „Diff. in GC“ | Quelle: GitHub Issue #2 | 1 Geschäfte</x:v>
      </x:c>
      <x:c r="B2" s="4"/>
      <x:c r="C2" s="4"/>
      <x:c r="D2" s="4"/>
      <x:c r="E2" s="4"/>
      <x:c r="F2" s="4"/>
    </x:row>
    <x:row r="4">
      <x:c r="A4" s="6" t="str">
        <x:v>Entity</x:v>
      </x:c>
      <x:c r="B4" s="6" t="str">
        <x:v>Counterparty</x:v>
      </x:c>
      <x:c r="C4" s="6" t="str">
        <x:v>Value Date</x:v>
      </x:c>
      <x:c r="D4" s="6" t="str">
        <x:v>Currency</x:v>
      </x:c>
      <x:c r="E4" s="6" t="str">
        <x:v>Deals</x:v>
      </x:c>
      <x:c r="F4" s="6" t="str">
        <x:v>Sum Diff. in GC</x:v>
      </x:c>
    </x:row>
    <x:row r="5">
      <x:c r="A5" s="7" t="str">
        <x:v>L_6209_HU</x:v>
      </x:c>
      <x:c r="B5" s="7" t="str">
        <x:v>L_0100_LU</x:v>
      </x:c>
      <x:c r="C5" s="8" t="n">
        <x:v>46258</x:v>
      </x:c>
      <x:c r="D5" s="7" t="str">
        <x:v>EUR</x:v>
      </x:c>
      <x:c r="E5" s="7" t="n">
        <x:f>COUNTIFS('Details'!$B$2:$B$2,A5,'Details'!$C$2:$C$2,B5,'Details'!$E$2:$E$2,C5,'Details'!$H$2:$H$2,D5)</x:f>
        <x:v>1</x:v>
      </x:c>
      <x:c r="F5" s="9" t="n">
        <x:f>SUMIFS('Details'!$N$2:$N$2,'Details'!$B$2:$B$2,A5,'Details'!$C$2:$C$2,B5,'Details'!$E$2:$E$2,C5,'Details'!$H$2:$H$2,D5)</x:f>
        <x:v>-147.9</x:v>
      </x:c>
    </x:row>
    <x:row r="6">
      <x:c r="A6" s="11" t="str">
        <x:v>Summe Diff. in GC</x:v>
      </x:c>
      <x:c r="B6" s="11"/>
      <x:c r="C6" s="11"/>
      <x:c r="D6" s="11"/>
      <x:c r="E6" s="11"/>
      <x:c r="F6" s="12" t="n">
        <x:f>SUM(F5:F5)</x:f>
        <x:v>-147.9</x:v>
      </x:c>
    </x:row>
  </x:sheetData>
  <x:mergeCells>
    <x:mergeCell ref="A1:F1"/>
    <x:mergeCell ref="A2:F2"/>
    <x:mergeCell ref="A6:E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</x:cols>
  <x:sheetData>
    <x:row r="1">
      <x:c r="A1" s="16" t="str">
        <x:v>Reference</x:v>
      </x:c>
      <x:c r="B1" s="16" t="str">
        <x:v>Entity</x:v>
      </x:c>
      <x:c r="C1" s="16" t="str">
        <x:v>Counterparty</x:v>
      </x:c>
      <x:c r="D1" s="16" t="str">
        <x:v>Int/Ext</x:v>
      </x:c>
      <x:c r="E1" s="16" t="str">
        <x:v>Value Date</x:v>
      </x:c>
      <x:c r="F1" s="16" t="str">
        <x:v>Deal Type</x:v>
      </x:c>
      <x:c r="G1" s="16" t="str">
        <x:v>Buy/Sell</x:v>
      </x:c>
      <x:c r="H1" s="16" t="str">
        <x:v>Currency</x:v>
      </x:c>
      <x:c r="I1" s="16" t="str">
        <x:v>Amount</x:v>
      </x:c>
      <x:c r="J1" s="16" t="str">
        <x:v>Rate</x:v>
      </x:c>
      <x:c r="K1" s="16" t="str">
        <x:v>Equivalent Currency</x:v>
      </x:c>
      <x:c r="L1" s="16" t="str">
        <x:v>Equivalent Amount EUR</x:v>
      </x:c>
      <x:c r="M1" s="16" t="str">
        <x:v>Mark-to-market</x:v>
      </x:c>
      <x:c r="N1" s="16" t="str">
        <x:v>Diff. in GC</x:v>
      </x:c>
      <x:c r="O1" s="16" t="str">
        <x:v>Amount (MTM) EUR</x:v>
      </x:c>
      <x:c r="P1" s="16" t="str">
        <x:v>Portfolio</x:v>
      </x:c>
    </x:row>
    <x:row r="2">
      <x:c r="A2" t="str">
        <x:v>FW-105528</x:v>
      </x:c>
      <x:c r="B2" t="str">
        <x:v>L_6209_HU</x:v>
      </x:c>
      <x:c r="C2" t="str">
        <x:v>L_0100_LU</x:v>
      </x:c>
      <x:c r="D2" t="str">
        <x:v>Internal</x:v>
      </x:c>
      <x:c r="E2" s="8" t="n">
        <x:v>46258</x:v>
      </x:c>
      <x:c r="F2" t="str">
        <x:v>Forward</x:v>
      </x:c>
      <x:c r="G2" t="str">
        <x:v>Buy</x:v>
      </x:c>
      <x:c r="H2" t="str">
        <x:v>EUR</x:v>
      </x:c>
      <x:c r="I2" s="9" t="n">
        <x:v>150000</x:v>
      </x:c>
      <x:c r="J2" s="17" t="n">
        <x:v>365.46</x:v>
      </x:c>
      <x:c r="K2" t="str">
        <x:v>HUF</x:v>
      </x:c>
      <x:c r="L2" s="9" t="n">
        <x:v>-54819000</x:v>
      </x:c>
      <x:c r="M2" s="9" t="n">
        <x:v>365.1</x:v>
      </x:c>
      <x:c r="N2" s="9" t="n">
        <x:v>-147.9</x:v>
      </x:c>
      <x:c r="O2" s="9" t="n">
        <x:v>-54765000</x:v>
      </x:c>
      <x:c r="P2" t="str">
        <x:v>FX-OP-UDL</x:v>
      </x:c>
    </x:row>
  </x:sheetData>
  <x:pageMargins left="0.7" right="0.7" top="0.75" bottom="0.75" header="0.3" footer="0.3"/>
</x:worksheet>
</file>