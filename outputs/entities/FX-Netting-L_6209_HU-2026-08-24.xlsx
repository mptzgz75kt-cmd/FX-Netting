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a158b9582a43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1a0037f97acc42c8"/>
    <x:sheet xmlns:r="http://schemas.openxmlformats.org/officeDocument/2006/relationships" name="Details" sheetId="2" r:id="R812616ce389941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a61ba021e04e98" /><Relationship Type="http://schemas.openxmlformats.org/officeDocument/2006/relationships/theme" Target="/xl/theme/theme1.xml" Id="R66d2410ce5db4733" /><Relationship Type="http://schemas.openxmlformats.org/officeDocument/2006/relationships/sharedStrings" Target="/xl/sharedStrings.xml" Id="Rc3cad59e4af74235" /><Relationship Type="http://schemas.openxmlformats.org/officeDocument/2006/relationships/worksheet" Target="/xl/worksheets/sheet1.xml" Id="R1a0037f97acc42c8" /><Relationship Type="http://schemas.openxmlformats.org/officeDocument/2006/relationships/worksheet" Target="/xl/worksheets/sheet2.xml" Id="R812616ce389941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  <x:col min="7" max="7" width="20" hidden="0" customWidth="1"/>
  </x:cols>
  <x:sheetData>
    <x:row r="1">
      <x:c r="A1" s="2" t="str">
        <x:v>FX Netting – L_6209_HU</x:v>
      </x:c>
      <x:c r="B1" s="2"/>
      <x:c r="C1" s="2"/>
      <x:c r="D1" s="2"/>
      <x:c r="E1" s="2"/>
      <x:c r="F1" s="2"/>
      <x:c r="G1" s="2"/>
    </x:row>
    <x:row r="2">
      <x:c r="A2" s="4" t="str">
        <x:v>Summierung der FX-Geschäfte | Quelle: GitHub Issue #2 | 1 Geschäfte</x:v>
      </x:c>
      <x:c r="B2" s="4"/>
      <x:c r="C2" s="4"/>
      <x:c r="D2" s="4"/>
      <x:c r="E2" s="4"/>
      <x:c r="F2" s="4"/>
      <x:c r="G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Net Amount</x:v>
      </x:c>
      <x:c r="G4" s="6" t="str">
        <x:v>Net EUR Equivalent</x:v>
      </x:c>
    </x:row>
    <x:row r="5">
      <x:c r="A5" s="7" t="str">
        <x:v>L_6209_HU</x:v>
      </x:c>
      <x:c r="B5" s="7" t="str">
        <x:v>L_0100_LU</x:v>
      </x:c>
      <x:c r="C5" s="8" t="n">
        <x:v>46258</x:v>
      </x:c>
      <x:c r="D5" s="7" t="str">
        <x:v>EUR</x:v>
      </x:c>
      <x:c r="E5" s="7" t="n">
        <x:f>COUNTIFS('Details'!$B$2:$B$2,A5,'Details'!$C$2:$C$2,B5,'Details'!$E$2:$E$2,C5,'Details'!$H$2:$H$2,D5)</x:f>
        <x:v>1</x:v>
      </x:c>
      <x:c r="F5" s="9" t="n">
        <x:f>SUMIFS('Details'!$I$2:$I$2,'Details'!$B$2:$B$2,A5,'Details'!$C$2:$C$2,B5,'Details'!$E$2:$E$2,C5,'Details'!$H$2:$H$2,D5)</x:f>
        <x:v>150000</x:v>
      </x:c>
      <x:c r="G5" s="9" t="n">
        <x:f>SUMIFS('Details'!$L$2:$L$2,'Details'!$B$2:$B$2,A5,'Details'!$C$2:$C$2,B5,'Details'!$E$2:$E$2,C5,'Details'!$H$2:$H$2,D5)</x:f>
        <x:v>-54819000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FW-105528</x:v>
      </x:c>
      <x:c r="B2" t="str">
        <x:v>L_6209_HU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EUR</x:v>
      </x:c>
      <x:c r="I2" s="9" t="n">
        <x:v>150000</x:v>
      </x:c>
      <x:c r="J2" s="14" t="n">
        <x:v>365.46</x:v>
      </x:c>
      <x:c r="K2" t="str">
        <x:v>HUF</x:v>
      </x:c>
      <x:c r="L2" s="9" t="n">
        <x:v>-54819000</x:v>
      </x:c>
      <x:c r="M2" s="9" t="n">
        <x:v>365.1</x:v>
      </x:c>
      <x:c r="N2" s="9" t="n">
        <x:v>-147.9</x:v>
      </x:c>
      <x:c r="O2" s="9" t="n">
        <x:v>-54765000</x:v>
      </x:c>
      <x:c r="P2" t="str">
        <x:v>FX-OP-UDL</x:v>
      </x:c>
    </x:row>
  </x:sheetData>
  <x:pageMargins left="0.7" right="0.7" top="0.75" bottom="0.75" header="0.3" footer="0.3"/>
</x:worksheet>
</file>