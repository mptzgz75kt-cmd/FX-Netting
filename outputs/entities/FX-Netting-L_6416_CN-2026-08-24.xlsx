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1d1274762e42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001240be49e741f7"/>
    <x:sheet xmlns:r="http://schemas.openxmlformats.org/officeDocument/2006/relationships" name="Details" sheetId="2" r:id="R5f35ea09c0b341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4a2a835d9d428d" /><Relationship Type="http://schemas.openxmlformats.org/officeDocument/2006/relationships/theme" Target="/xl/theme/theme1.xml" Id="Rc3101f49b3bf4399" /><Relationship Type="http://schemas.openxmlformats.org/officeDocument/2006/relationships/sharedStrings" Target="/xl/sharedStrings.xml" Id="R569f66f12717462e" /><Relationship Type="http://schemas.openxmlformats.org/officeDocument/2006/relationships/worksheet" Target="/xl/worksheets/sheet1.xml" Id="R001240be49e741f7" /><Relationship Type="http://schemas.openxmlformats.org/officeDocument/2006/relationships/worksheet" Target="/xl/worksheets/sheet2.xml" Id="R5f35ea09c0b3411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L_6416_CN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6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L_6416_CN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COUNTIFS('Details'!$B$2:$B$7,A5,'Details'!$C$2:$C$7,B5,'Details'!$E$2:$E$7,C5,'Details'!$H$2:$H$7,D5)</x:f>
        <x:v>6</x:v>
      </x:c>
      <x:c r="F5" s="9" t="n">
        <x:f>SUMIFS('Details'!$I$2:$I$7,'Details'!$B$2:$B$7,A5,'Details'!$C$2:$C$7,B5,'Details'!$E$2:$E$7,C5,'Details'!$H$2:$H$7,D5)</x:f>
        <x:v>-3400000</x:v>
      </x:c>
      <x:c r="G5" s="9" t="n">
        <x:f>SUMIFS('Details'!$L$2:$L$7,'Details'!$B$2:$B$7,A5,'Details'!$C$2:$C$7,B5,'Details'!$E$2:$E$7,C5,'Details'!$H$2:$H$7,D5)</x:f>
        <x:v>440478.62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FW-105152</x:v>
      </x:c>
      <x:c r="B2" t="str">
        <x:v>L_6416_CN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Sell</x:v>
      </x:c>
      <x:c r="H2" t="str">
        <x:v>CNY</x:v>
      </x:c>
      <x:c r="I2" s="9" t="n">
        <x:v>-600000</x:v>
      </x:c>
      <x:c r="J2" s="14" t="n">
        <x:v>7.7411</x:v>
      </x:c>
      <x:c r="K2" t="str">
        <x:v>EUR</x:v>
      </x:c>
      <x:c r="L2" s="9" t="n">
        <x:v>77508.36</x:v>
      </x:c>
      <x:c r="M2" s="9" t="n">
        <x:v>7.8538</x:v>
      </x:c>
      <x:c r="N2" s="9" t="n">
        <x:v>1112.22</x:v>
      </x:c>
      <x:c r="O2" s="9" t="n">
        <x:v>76396.14</x:v>
      </x:c>
      <x:c r="P2" t="str">
        <x:v>FX-OP-UDL</x:v>
      </x:c>
    </x:row>
    <x:row r="3">
      <x:c r="A3" t="str">
        <x:v>FW-105313</x:v>
      </x:c>
      <x:c r="B3" t="str">
        <x:v>L_6416_CN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CNY</x:v>
      </x:c>
      <x:c r="I3" s="9" t="n">
        <x:v>-700000</x:v>
      </x:c>
      <x:c r="J3" s="14" t="n">
        <x:v>7.70405</x:v>
      </x:c>
      <x:c r="K3" t="str">
        <x:v>EUR</x:v>
      </x:c>
      <x:c r="L3" s="9" t="n">
        <x:v>90861.3</x:v>
      </x:c>
      <x:c r="M3" s="9" t="n">
        <x:v>7.8538</x:v>
      </x:c>
      <x:c r="N3" s="9" t="n">
        <x:v>1732.47</x:v>
      </x:c>
      <x:c r="O3" s="9" t="n">
        <x:v>89128.83</x:v>
      </x:c>
      <x:c r="P3" t="str">
        <x:v>FX-OP-UDL</x:v>
      </x:c>
    </x:row>
    <x:row r="4">
      <x:c r="A4" t="str">
        <x:v>FW-105350</x:v>
      </x:c>
      <x:c r="B4" t="str">
        <x:v>L_6416_CN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Sell</x:v>
      </x:c>
      <x:c r="H4" t="str">
        <x:v>CNY</x:v>
      </x:c>
      <x:c r="I4" s="9" t="n">
        <x:v>-900000</x:v>
      </x:c>
      <x:c r="J4" s="14" t="n">
        <x:v>7.74765</x:v>
      </x:c>
      <x:c r="K4" t="str">
        <x:v>EUR</x:v>
      </x:c>
      <x:c r="L4" s="9" t="n">
        <x:v>116164.26</x:v>
      </x:c>
      <x:c r="M4" s="9" t="n">
        <x:v>7.8538</x:v>
      </x:c>
      <x:c r="N4" s="9" t="n">
        <x:v>1570.05</x:v>
      </x:c>
      <x:c r="O4" s="9" t="n">
        <x:v>114594.21</x:v>
      </x:c>
      <x:c r="P4" t="str">
        <x:v>FX-OP-UDL</x:v>
      </x:c>
    </x:row>
    <x:row r="5">
      <x:c r="A5" t="str">
        <x:v>FW-105447</x:v>
      </x:c>
      <x:c r="B5" t="str">
        <x:v>L_6416_CN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CNY</x:v>
      </x:c>
      <x:c r="I5" s="9" t="n">
        <x:v>800000</x:v>
      </x:c>
      <x:c r="J5" s="14" t="n">
        <x:v>7.71601</x:v>
      </x:c>
      <x:c r="K5" t="str">
        <x:v>EUR</x:v>
      </x:c>
      <x:c r="L5" s="9" t="n">
        <x:v>-103680.53</x:v>
      </x:c>
      <x:c r="M5" s="9" t="n">
        <x:v>7.8538</x:v>
      </x:c>
      <x:c r="N5" s="9" t="n">
        <x:v>-1819.01</x:v>
      </x:c>
      <x:c r="O5" s="9" t="n">
        <x:v>-101861.52</x:v>
      </x:c>
      <x:c r="P5" t="str">
        <x:v>FX-OP-UDL</x:v>
      </x:c>
    </x:row>
    <x:row r="6">
      <x:c r="A6" t="str">
        <x:v>FW-105636</x:v>
      </x:c>
      <x:c r="B6" t="str">
        <x:v>L_6416_CN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Sell</x:v>
      </x:c>
      <x:c r="H6" t="str">
        <x:v>CNY</x:v>
      </x:c>
      <x:c r="I6" s="9" t="n">
        <x:v>-1000000</x:v>
      </x:c>
      <x:c r="J6" s="14" t="n">
        <x:v>7.6709</x:v>
      </x:c>
      <x:c r="K6" t="str">
        <x:v>EUR</x:v>
      </x:c>
      <x:c r="L6" s="9" t="n">
        <x:v>130362.8</x:v>
      </x:c>
      <x:c r="M6" s="9" t="n">
        <x:v>7.8538</x:v>
      </x:c>
      <x:c r="N6" s="9" t="n">
        <x:v>3035.9</x:v>
      </x:c>
      <x:c r="O6" s="9" t="n">
        <x:v>127326.9</x:v>
      </x:c>
      <x:c r="P6" t="str">
        <x:v>FX-OP-UDL</x:v>
      </x:c>
    </x:row>
    <x:row r="7">
      <x:c r="A7" t="str">
        <x:v>FW-105743</x:v>
      </x:c>
      <x:c r="B7" t="str">
        <x:v>L_6416_CN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Sell</x:v>
      </x:c>
      <x:c r="H7" t="str">
        <x:v>CNY</x:v>
      </x:c>
      <x:c r="I7" s="9" t="n">
        <x:v>-1000000</x:v>
      </x:c>
      <x:c r="J7" s="14" t="n">
        <x:v>7.7362</x:v>
      </x:c>
      <x:c r="K7" t="str">
        <x:v>EUR</x:v>
      </x:c>
      <x:c r="L7" s="9" t="n">
        <x:v>129262.43</x:v>
      </x:c>
      <x:c r="M7" s="9" t="n">
        <x:v>7.8538</x:v>
      </x:c>
      <x:c r="N7" s="9" t="n">
        <x:v>1935.53</x:v>
      </x:c>
      <x:c r="O7" s="9" t="n">
        <x:v>127326.9</x:v>
      </x:c>
      <x:c r="P7" t="str">
        <x:v>FX-OP-UDL</x:v>
      </x:c>
    </x:row>
  </x:sheetData>
  <x:pageMargins left="0.7" right="0.7" top="0.75" bottom="0.75" header="0.3" footer="0.3"/>
</x:worksheet>
</file>