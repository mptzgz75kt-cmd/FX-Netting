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b7e9e3d133475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etting" sheetId="1" r:id="R3e3b08e3228241c4"/>
    <x:sheet xmlns:r="http://schemas.openxmlformats.org/officeDocument/2006/relationships" name="Details" sheetId="2" r:id="R39af48ff4cd9465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#,##0.00;[Red](#,##0.00);-"/>
    <x:numFmt numFmtId="202" formatCode="0.000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</x:fills>
  <x:borders count="1">
    <x:border/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202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b46e121f2cd47fc" /><Relationship Type="http://schemas.openxmlformats.org/officeDocument/2006/relationships/theme" Target="/xl/theme/theme1.xml" Id="R399b536eb8bc4e36" /><Relationship Type="http://schemas.openxmlformats.org/officeDocument/2006/relationships/sharedStrings" Target="/xl/sharedStrings.xml" Id="R9b0de86708dc4e25" /><Relationship Type="http://schemas.openxmlformats.org/officeDocument/2006/relationships/worksheet" Target="/xl/worksheets/sheet1.xml" Id="R3e3b08e3228241c4" /><Relationship Type="http://schemas.openxmlformats.org/officeDocument/2006/relationships/worksheet" Target="/xl/worksheets/sheet2.xml" Id="R39af48ff4cd9465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4" hidden="0" customWidth="1"/>
    <x:col min="4" max="4" width="10" hidden="0" customWidth="1"/>
    <x:col min="5" max="5" width="10" hidden="0" customWidth="1"/>
    <x:col min="6" max="6" width="20" hidden="0" customWidth="1"/>
  </x:cols>
  <x:sheetData>
    <x:row r="1">
      <x:c r="A1" s="2" t="str">
        <x:v>FX Netting – L_6416_CN</x:v>
      </x:c>
      <x:c r="B1" s="2"/>
      <x:c r="C1" s="2"/>
      <x:c r="D1" s="2"/>
      <x:c r="E1" s="2"/>
      <x:c r="F1" s="2"/>
    </x:row>
    <x:row r="2">
      <x:c r="A2" s="4" t="str">
        <x:v>Summierung von „Diff. in GC“ | Quelle: GitHub Issue #2 | 6 Geschäfte</x:v>
      </x:c>
      <x:c r="B2" s="4"/>
      <x:c r="C2" s="4"/>
      <x:c r="D2" s="4"/>
      <x:c r="E2" s="4"/>
      <x:c r="F2" s="4"/>
    </x:row>
    <x:row r="4">
      <x:c r="A4" s="6" t="str">
        <x:v>Entity</x:v>
      </x:c>
      <x:c r="B4" s="6" t="str">
        <x:v>Counterparty</x:v>
      </x:c>
      <x:c r="C4" s="6" t="str">
        <x:v>Value Date</x:v>
      </x:c>
      <x:c r="D4" s="6" t="str">
        <x:v>Currency</x:v>
      </x:c>
      <x:c r="E4" s="6" t="str">
        <x:v>Deals</x:v>
      </x:c>
      <x:c r="F4" s="6" t="str">
        <x:v>Sum Diff. in GC</x:v>
      </x:c>
    </x:row>
    <x:row r="5">
      <x:c r="A5" s="7" t="str">
        <x:v>L_6416_CN</x:v>
      </x:c>
      <x:c r="B5" s="7" t="str">
        <x:v>L_0100_LU</x:v>
      </x:c>
      <x:c r="C5" s="8" t="n">
        <x:v>46258</x:v>
      </x:c>
      <x:c r="D5" s="7" t="str">
        <x:v>CNY</x:v>
      </x:c>
      <x:c r="E5" s="7" t="n">
        <x:f>COUNTIFS('Details'!$B$2:$B$7,A5,'Details'!$C$2:$C$7,B5,'Details'!$E$2:$E$7,C5,'Details'!$H$2:$H$7,D5)</x:f>
        <x:v>6</x:v>
      </x:c>
      <x:c r="F5" s="9" t="n">
        <x:f>SUMIFS('Details'!$N$2:$N$7,'Details'!$B$2:$B$7,A5,'Details'!$C$2:$C$7,B5,'Details'!$E$2:$E$7,C5,'Details'!$H$2:$H$7,D5)</x:f>
        <x:v>7567.159999999999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2" hidden="0" customWidth="1"/>
    <x:col min="5" max="5" width="14" hidden="0" customWidth="1"/>
    <x:col min="6" max="6" width="12" hidden="0" customWidth="1"/>
    <x:col min="7" max="7" width="12" hidden="0" customWidth="1"/>
    <x:col min="8" max="8" width="10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4" hidden="0" customWidth="1"/>
  </x:cols>
  <x:sheetData>
    <x:row r="1">
      <x:c r="A1" s="13" t="str">
        <x:v>Reference</x:v>
      </x:c>
      <x:c r="B1" s="13" t="str">
        <x:v>Entity</x:v>
      </x:c>
      <x:c r="C1" s="13" t="str">
        <x:v>Counterparty</x:v>
      </x:c>
      <x:c r="D1" s="13" t="str">
        <x:v>Int/Ext</x:v>
      </x:c>
      <x:c r="E1" s="13" t="str">
        <x:v>Value Date</x:v>
      </x:c>
      <x:c r="F1" s="13" t="str">
        <x:v>Deal Type</x:v>
      </x:c>
      <x:c r="G1" s="13" t="str">
        <x:v>Buy/Sell</x:v>
      </x:c>
      <x:c r="H1" s="13" t="str">
        <x:v>Currency</x:v>
      </x:c>
      <x:c r="I1" s="13" t="str">
        <x:v>Amount</x:v>
      </x:c>
      <x:c r="J1" s="13" t="str">
        <x:v>Rate</x:v>
      </x:c>
      <x:c r="K1" s="13" t="str">
        <x:v>Equivalent Currency</x:v>
      </x:c>
      <x:c r="L1" s="13" t="str">
        <x:v>Equivalent Amount EUR</x:v>
      </x:c>
      <x:c r="M1" s="13" t="str">
        <x:v>Mark-to-market</x:v>
      </x:c>
      <x:c r="N1" s="13" t="str">
        <x:v>Diff. in GC</x:v>
      </x:c>
      <x:c r="O1" s="13" t="str">
        <x:v>Amount (MTM) EUR</x:v>
      </x:c>
      <x:c r="P1" s="13" t="str">
        <x:v>Portfolio</x:v>
      </x:c>
    </x:row>
    <x:row r="2">
      <x:c r="A2" t="str">
        <x:v>FW-105152</x:v>
      </x:c>
      <x:c r="B2" t="str">
        <x:v>L_6416_CN</x:v>
      </x:c>
      <x:c r="C2" t="str">
        <x:v>L_0100_LU</x:v>
      </x:c>
      <x:c r="D2" t="str">
        <x:v>Internal</x:v>
      </x:c>
      <x:c r="E2" s="8" t="n">
        <x:v>46258</x:v>
      </x:c>
      <x:c r="F2" t="str">
        <x:v>Forward</x:v>
      </x:c>
      <x:c r="G2" t="str">
        <x:v>Sell</x:v>
      </x:c>
      <x:c r="H2" t="str">
        <x:v>CNY</x:v>
      </x:c>
      <x:c r="I2" s="9" t="n">
        <x:v>-600000</x:v>
      </x:c>
      <x:c r="J2" s="14" t="n">
        <x:v>7.7411</x:v>
      </x:c>
      <x:c r="K2" t="str">
        <x:v>EUR</x:v>
      </x:c>
      <x:c r="L2" s="9" t="n">
        <x:v>77508.36</x:v>
      </x:c>
      <x:c r="M2" s="9" t="n">
        <x:v>7.8538</x:v>
      </x:c>
      <x:c r="N2" s="9" t="n">
        <x:v>1112.22</x:v>
      </x:c>
      <x:c r="O2" s="9" t="n">
        <x:v>76396.14</x:v>
      </x:c>
      <x:c r="P2" t="str">
        <x:v>FX-OP-UDL</x:v>
      </x:c>
    </x:row>
    <x:row r="3">
      <x:c r="A3" t="str">
        <x:v>FW-105313</x:v>
      </x:c>
      <x:c r="B3" t="str">
        <x:v>L_6416_CN</x:v>
      </x:c>
      <x:c r="C3" t="str">
        <x:v>L_0100_LU</x:v>
      </x:c>
      <x:c r="D3" t="str">
        <x:v>Internal</x:v>
      </x:c>
      <x:c r="E3" s="8" t="n">
        <x:v>46258</x:v>
      </x:c>
      <x:c r="F3" t="str">
        <x:v>Forward</x:v>
      </x:c>
      <x:c r="G3" t="str">
        <x:v>Sell</x:v>
      </x:c>
      <x:c r="H3" t="str">
        <x:v>CNY</x:v>
      </x:c>
      <x:c r="I3" s="9" t="n">
        <x:v>-700000</x:v>
      </x:c>
      <x:c r="J3" s="14" t="n">
        <x:v>7.70405</x:v>
      </x:c>
      <x:c r="K3" t="str">
        <x:v>EUR</x:v>
      </x:c>
      <x:c r="L3" s="9" t="n">
        <x:v>90861.3</x:v>
      </x:c>
      <x:c r="M3" s="9" t="n">
        <x:v>7.8538</x:v>
      </x:c>
      <x:c r="N3" s="9" t="n">
        <x:v>1732.47</x:v>
      </x:c>
      <x:c r="O3" s="9" t="n">
        <x:v>89128.83</x:v>
      </x:c>
      <x:c r="P3" t="str">
        <x:v>FX-OP-UDL</x:v>
      </x:c>
    </x:row>
    <x:row r="4">
      <x:c r="A4" t="str">
        <x:v>FW-105350</x:v>
      </x:c>
      <x:c r="B4" t="str">
        <x:v>L_6416_CN</x:v>
      </x:c>
      <x:c r="C4" t="str">
        <x:v>L_0100_LU</x:v>
      </x:c>
      <x:c r="D4" t="str">
        <x:v>Internal</x:v>
      </x:c>
      <x:c r="E4" s="8" t="n">
        <x:v>46258</x:v>
      </x:c>
      <x:c r="F4" t="str">
        <x:v>Forward</x:v>
      </x:c>
      <x:c r="G4" t="str">
        <x:v>Sell</x:v>
      </x:c>
      <x:c r="H4" t="str">
        <x:v>CNY</x:v>
      </x:c>
      <x:c r="I4" s="9" t="n">
        <x:v>-900000</x:v>
      </x:c>
      <x:c r="J4" s="14" t="n">
        <x:v>7.74765</x:v>
      </x:c>
      <x:c r="K4" t="str">
        <x:v>EUR</x:v>
      </x:c>
      <x:c r="L4" s="9" t="n">
        <x:v>116164.26</x:v>
      </x:c>
      <x:c r="M4" s="9" t="n">
        <x:v>7.8538</x:v>
      </x:c>
      <x:c r="N4" s="9" t="n">
        <x:v>1570.05</x:v>
      </x:c>
      <x:c r="O4" s="9" t="n">
        <x:v>114594.21</x:v>
      </x:c>
      <x:c r="P4" t="str">
        <x:v>FX-OP-UDL</x:v>
      </x:c>
    </x:row>
    <x:row r="5">
      <x:c r="A5" t="str">
        <x:v>FW-105447</x:v>
      </x:c>
      <x:c r="B5" t="str">
        <x:v>L_6416_CN</x:v>
      </x:c>
      <x:c r="C5" t="str">
        <x:v>L_0100_LU</x:v>
      </x:c>
      <x:c r="D5" t="str">
        <x:v>Internal</x:v>
      </x:c>
      <x:c r="E5" s="8" t="n">
        <x:v>46258</x:v>
      </x:c>
      <x:c r="F5" t="str">
        <x:v>Forward</x:v>
      </x:c>
      <x:c r="G5" t="str">
        <x:v>Buy</x:v>
      </x:c>
      <x:c r="H5" t="str">
        <x:v>CNY</x:v>
      </x:c>
      <x:c r="I5" s="9" t="n">
        <x:v>800000</x:v>
      </x:c>
      <x:c r="J5" s="14" t="n">
        <x:v>7.71601</x:v>
      </x:c>
      <x:c r="K5" t="str">
        <x:v>EUR</x:v>
      </x:c>
      <x:c r="L5" s="9" t="n">
        <x:v>-103680.53</x:v>
      </x:c>
      <x:c r="M5" s="9" t="n">
        <x:v>7.8538</x:v>
      </x:c>
      <x:c r="N5" s="9" t="n">
        <x:v>-1819.01</x:v>
      </x:c>
      <x:c r="O5" s="9" t="n">
        <x:v>-101861.52</x:v>
      </x:c>
      <x:c r="P5" t="str">
        <x:v>FX-OP-UDL</x:v>
      </x:c>
    </x:row>
    <x:row r="6">
      <x:c r="A6" t="str">
        <x:v>FW-105636</x:v>
      </x:c>
      <x:c r="B6" t="str">
        <x:v>L_6416_CN</x:v>
      </x:c>
      <x:c r="C6" t="str">
        <x:v>L_0100_LU</x:v>
      </x:c>
      <x:c r="D6" t="str">
        <x:v>Internal</x:v>
      </x:c>
      <x:c r="E6" s="8" t="n">
        <x:v>46258</x:v>
      </x:c>
      <x:c r="F6" t="str">
        <x:v>Forward</x:v>
      </x:c>
      <x:c r="G6" t="str">
        <x:v>Sell</x:v>
      </x:c>
      <x:c r="H6" t="str">
        <x:v>CNY</x:v>
      </x:c>
      <x:c r="I6" s="9" t="n">
        <x:v>-1000000</x:v>
      </x:c>
      <x:c r="J6" s="14" t="n">
        <x:v>7.6709</x:v>
      </x:c>
      <x:c r="K6" t="str">
        <x:v>EUR</x:v>
      </x:c>
      <x:c r="L6" s="9" t="n">
        <x:v>130362.8</x:v>
      </x:c>
      <x:c r="M6" s="9" t="n">
        <x:v>7.8538</x:v>
      </x:c>
      <x:c r="N6" s="9" t="n">
        <x:v>3035.9</x:v>
      </x:c>
      <x:c r="O6" s="9" t="n">
        <x:v>127326.9</x:v>
      </x:c>
      <x:c r="P6" t="str">
        <x:v>FX-OP-UDL</x:v>
      </x:c>
    </x:row>
    <x:row r="7">
      <x:c r="A7" t="str">
        <x:v>FW-105743</x:v>
      </x:c>
      <x:c r="B7" t="str">
        <x:v>L_6416_CN</x:v>
      </x:c>
      <x:c r="C7" t="str">
        <x:v>L_0100_LU</x:v>
      </x:c>
      <x:c r="D7" t="str">
        <x:v>Internal</x:v>
      </x:c>
      <x:c r="E7" s="8" t="n">
        <x:v>46258</x:v>
      </x:c>
      <x:c r="F7" t="str">
        <x:v>Forward</x:v>
      </x:c>
      <x:c r="G7" t="str">
        <x:v>Sell</x:v>
      </x:c>
      <x:c r="H7" t="str">
        <x:v>CNY</x:v>
      </x:c>
      <x:c r="I7" s="9" t="n">
        <x:v>-1000000</x:v>
      </x:c>
      <x:c r="J7" s="14" t="n">
        <x:v>7.7362</x:v>
      </x:c>
      <x:c r="K7" t="str">
        <x:v>EUR</x:v>
      </x:c>
      <x:c r="L7" s="9" t="n">
        <x:v>129262.43</x:v>
      </x:c>
      <x:c r="M7" s="9" t="n">
        <x:v>7.8538</x:v>
      </x:c>
      <x:c r="N7" s="9" t="n">
        <x:v>1935.53</x:v>
      </x:c>
      <x:c r="O7" s="9" t="n">
        <x:v>127326.9</x:v>
      </x:c>
      <x:c r="P7" t="str">
        <x:v>FX-OP-UDL</x:v>
      </x:c>
    </x:row>
  </x:sheetData>
  <x:pageMargins left="0.7" right="0.7" top="0.75" bottom="0.75" header="0.3" footer="0.3"/>
</x:worksheet>
</file>