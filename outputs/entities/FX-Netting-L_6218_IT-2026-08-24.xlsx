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c20c3449cd46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5111244c8e6f402f"/>
    <x:sheet xmlns:r="http://schemas.openxmlformats.org/officeDocument/2006/relationships" name="Details" sheetId="2" r:id="Rd5461a49c28b4c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6c33ae5b064968" /><Relationship Type="http://schemas.openxmlformats.org/officeDocument/2006/relationships/theme" Target="/xl/theme/theme1.xml" Id="Rf1c173053b2245eb" /><Relationship Type="http://schemas.openxmlformats.org/officeDocument/2006/relationships/sharedStrings" Target="/xl/sharedStrings.xml" Id="Raee8386d12124bdc" /><Relationship Type="http://schemas.openxmlformats.org/officeDocument/2006/relationships/worksheet" Target="/xl/worksheets/sheet1.xml" Id="R5111244c8e6f402f" /><Relationship Type="http://schemas.openxmlformats.org/officeDocument/2006/relationships/worksheet" Target="/xl/worksheets/sheet2.xml" Id="Rd5461a49c28b4c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</x:cols>
  <x:sheetData>
    <x:row r="1">
      <x:c r="A1" s="2" t="str">
        <x:v>FX Netting – L_6218_IT</x:v>
      </x:c>
      <x:c r="B1" s="2"/>
      <x:c r="C1" s="2"/>
      <x:c r="D1" s="2"/>
      <x:c r="E1" s="2"/>
      <x:c r="F1" s="2"/>
    </x:row>
    <x:row r="2">
      <x:c r="A2" s="4" t="str">
        <x:v>Summierung von „Diff. in GC“ | Quelle: GitHub Issue #2 | 2 Geschäfte</x:v>
      </x:c>
      <x:c r="B2" s="4"/>
      <x:c r="C2" s="4"/>
      <x:c r="D2" s="4"/>
      <x:c r="E2" s="4"/>
      <x:c r="F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Sum Diff. in GC</x:v>
      </x:c>
    </x:row>
    <x:row r="5">
      <x:c r="A5" s="7" t="str">
        <x:v>L_6218_IT</x:v>
      </x:c>
      <x:c r="B5" s="7" t="str">
        <x:v>L_0100_LU</x:v>
      </x:c>
      <x:c r="C5" s="8" t="n">
        <x:v>46258</x:v>
      </x:c>
      <x:c r="D5" s="7" t="str">
        <x:v>USD</x:v>
      </x:c>
      <x:c r="E5" s="7" t="n">
        <x:f>COUNTIFS('Details'!$B$2:$B$3,A5,'Details'!$C$2:$C$3,B5,'Details'!$E$2:$E$3,C5,'Details'!$H$2:$H$3,D5)</x:f>
        <x:v>2</x:v>
      </x:c>
      <x:c r="F5" s="9" t="n">
        <x:f>SUMIFS('Details'!$N$2:$N$3,'Details'!$B$2:$B$3,A5,'Details'!$C$2:$C$3,B5,'Details'!$E$2:$E$3,C5,'Details'!$H$2:$H$3,D5)</x:f>
        <x:v>432.21000000000004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FW-105327</x:v>
      </x:c>
      <x:c r="B2" t="str">
        <x:v>L_6218_IT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USD</x:v>
      </x:c>
      <x:c r="I2" s="9" t="n">
        <x:v>130000</x:v>
      </x:c>
      <x:c r="J2" s="14" t="n">
        <x:v>1.142322</x:v>
      </x:c>
      <x:c r="K2" t="str">
        <x:v>EUR</x:v>
      </x:c>
      <x:c r="L2" s="9" t="n">
        <x:v>-113803.29</x:v>
      </x:c>
      <x:c r="M2" s="9" t="n">
        <x:v>1.1681</x:v>
      </x:c>
      <x:c r="N2" s="9" t="n">
        <x:v>-2511.45</x:v>
      </x:c>
      <x:c r="O2" s="9" t="n">
        <x:v>-111291.84</x:v>
      </x:c>
      <x:c r="P2" t="str">
        <x:v>FX-OP-UDL</x:v>
      </x:c>
    </x:row>
    <x:row r="3">
      <x:c r="A3" t="str">
        <x:v>FW-105728</x:v>
      </x:c>
      <x:c r="B3" t="str">
        <x:v>L_6218_IT</x:v>
      </x:c>
      <x:c r="C3" t="str">
        <x:v>L_0100_LU</x:v>
      </x:c>
      <x:c r="D3" t="str">
        <x:v>Internal</x:v>
      </x:c>
      <x:c r="E3" s="8" t="n">
        <x:v>46258</x:v>
      </x:c>
      <x:c r="F3" t="str">
        <x:v>Forward</x:v>
      </x:c>
      <x:c r="G3" t="str">
        <x:v>Sell</x:v>
      </x:c>
      <x:c r="H3" t="str">
        <x:v>USD</x:v>
      </x:c>
      <x:c r="I3" s="9" t="n">
        <x:v>-130000</x:v>
      </x:c>
      <x:c r="J3" s="14" t="n">
        <x:v>1.138</x:v>
      </x:c>
      <x:c r="K3" t="str">
        <x:v>EUR</x:v>
      </x:c>
      <x:c r="L3" s="9" t="n">
        <x:v>114235.5</x:v>
      </x:c>
      <x:c r="M3" s="9" t="n">
        <x:v>1.1681</x:v>
      </x:c>
      <x:c r="N3" s="9" t="n">
        <x:v>2943.66</x:v>
      </x:c>
      <x:c r="O3" s="9" t="n">
        <x:v>111291.84</x:v>
      </x:c>
      <x:c r="P3" t="str">
        <x:v>FX-OP-UDL</x:v>
      </x:c>
    </x:row>
  </x:sheetData>
  <x:pageMargins left="0.7" right="0.7" top="0.75" bottom="0.75" header="0.3" footer="0.3"/>
</x:worksheet>
</file>