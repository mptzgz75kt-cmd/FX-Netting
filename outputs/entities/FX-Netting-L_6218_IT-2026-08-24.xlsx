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fbc3e999f46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b9626951f3514680"/>
    <x:sheet xmlns:r="http://schemas.openxmlformats.org/officeDocument/2006/relationships" name="Details" sheetId="2" r:id="R4471137f6cb841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858d42bb1f4a9c" /><Relationship Type="http://schemas.openxmlformats.org/officeDocument/2006/relationships/theme" Target="/xl/theme/theme1.xml" Id="R6d7dc15c24824414" /><Relationship Type="http://schemas.openxmlformats.org/officeDocument/2006/relationships/sharedStrings" Target="/xl/sharedStrings.xml" Id="Ra768a6200fa14399" /><Relationship Type="http://schemas.openxmlformats.org/officeDocument/2006/relationships/worksheet" Target="/xl/worksheets/sheet1.xml" Id="Rb9626951f3514680" /><Relationship Type="http://schemas.openxmlformats.org/officeDocument/2006/relationships/worksheet" Target="/xl/worksheets/sheet2.xml" Id="R4471137f6cb841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L_6218_IT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2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L_6218_IT</x:v>
      </x:c>
      <x:c r="B5" s="7" t="str">
        <x:v>L_0100_LU</x:v>
      </x:c>
      <x:c r="C5" s="8" t="n">
        <x:v>46258</x:v>
      </x:c>
      <x:c r="D5" s="7" t="str">
        <x:v>USD</x:v>
      </x:c>
      <x:c r="E5" s="7" t="n">
        <x:f>COUNTIFS('Details'!$B$2:$B$3,A5,'Details'!$C$2:$C$3,B5,'Details'!$E$2:$E$3,C5,'Details'!$H$2:$H$3,D5)</x:f>
        <x:v>2</x:v>
      </x:c>
      <x:c r="F5" s="9" t="n">
        <x:f>SUMIFS('Details'!$I$2:$I$3,'Details'!$B$2:$B$3,A5,'Details'!$C$2:$C$3,B5,'Details'!$E$2:$E$3,C5,'Details'!$H$2:$H$3,D5)</x:f>
        <x:v>0</x:v>
      </x:c>
      <x:c r="G5" s="9" t="n">
        <x:f>SUMIFS('Details'!$L$2:$L$3,'Details'!$B$2:$B$3,A5,'Details'!$C$2:$C$3,B5,'Details'!$E$2:$E$3,C5,'Details'!$H$2:$H$3,D5)</x:f>
        <x:v>432.2100000000064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FW-105327</x:v>
      </x:c>
      <x:c r="B2" t="str">
        <x:v>L_6218_IT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130000</x:v>
      </x:c>
      <x:c r="J2" s="14" t="n">
        <x:v>1.142322</x:v>
      </x:c>
      <x:c r="K2" t="str">
        <x:v>EUR</x:v>
      </x:c>
      <x:c r="L2" s="9" t="n">
        <x:v>-113803.29</x:v>
      </x:c>
      <x:c r="M2" s="9" t="n">
        <x:v>1.1681</x:v>
      </x:c>
      <x:c r="N2" s="9" t="n">
        <x:v>-2511.45</x:v>
      </x:c>
      <x:c r="O2" s="9" t="n">
        <x:v>-111291.84</x:v>
      </x:c>
      <x:c r="P2" t="str">
        <x:v>FX-OP-UDL</x:v>
      </x:c>
    </x:row>
    <x:row r="3">
      <x:c r="A3" t="str">
        <x:v>FW-105728</x:v>
      </x:c>
      <x:c r="B3" t="str">
        <x:v>L_6218_IT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USD</x:v>
      </x:c>
      <x:c r="I3" s="9" t="n">
        <x:v>-130000</x:v>
      </x:c>
      <x:c r="J3" s="14" t="n">
        <x:v>1.138</x:v>
      </x:c>
      <x:c r="K3" t="str">
        <x:v>EUR</x:v>
      </x:c>
      <x:c r="L3" s="9" t="n">
        <x:v>114235.5</x:v>
      </x:c>
      <x:c r="M3" s="9" t="n">
        <x:v>1.1681</x:v>
      </x:c>
      <x:c r="N3" s="9" t="n">
        <x:v>2943.66</x:v>
      </x:c>
      <x:c r="O3" s="9" t="n">
        <x:v>111291.84</x:v>
      </x:c>
      <x:c r="P3" t="str">
        <x:v>FX-OP-UDL</x:v>
      </x:c>
    </x:row>
  </x:sheetData>
  <x:pageMargins left="0.7" right="0.7" top="0.75" bottom="0.75" header="0.3" footer="0.3"/>
</x:worksheet>
</file>