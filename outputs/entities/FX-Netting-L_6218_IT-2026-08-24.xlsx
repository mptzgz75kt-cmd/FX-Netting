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f0665e5adf41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tting" sheetId="1" r:id="R9b9574aaba9044c2"/>
    <x:sheet xmlns:r="http://schemas.openxmlformats.org/officeDocument/2006/relationships" name="Details" sheetId="2" r:id="R3593642d9bfb4bd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-#,##0.00;-"/>
    <x:numFmt numFmtId="202" formatCode="0.0000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</x:fills>
  <x:borders count="2">
    <x:border/>
    <x:border>
      <x:top style="medium">
        <x:color rgb="FF17365D"/>
      </x:top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201" fontId="4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3d77d4bfa94cb2" /><Relationship Type="http://schemas.openxmlformats.org/officeDocument/2006/relationships/theme" Target="/xl/theme/theme1.xml" Id="R98698f7bceae41f9" /><Relationship Type="http://schemas.openxmlformats.org/officeDocument/2006/relationships/sharedStrings" Target="/xl/sharedStrings.xml" Id="R84663699abbd4ce1" /><Relationship Type="http://schemas.openxmlformats.org/officeDocument/2006/relationships/worksheet" Target="/xl/worksheets/sheet1.xml" Id="R9b9574aaba9044c2" /><Relationship Type="http://schemas.openxmlformats.org/officeDocument/2006/relationships/worksheet" Target="/xl/worksheets/sheet2.xml" Id="R3593642d9bfb4bd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10" hidden="0" customWidth="1"/>
    <x:col min="5" max="5" width="10" hidden="0" customWidth="1"/>
    <x:col min="6" max="6" width="20" hidden="0" customWidth="1"/>
  </x:cols>
  <x:sheetData>
    <x:row r="1">
      <x:c r="A1" s="2" t="str">
        <x:v>FX Netting – L_6218_IT</x:v>
      </x:c>
      <x:c r="B1" s="2"/>
      <x:c r="C1" s="2"/>
      <x:c r="D1" s="2"/>
      <x:c r="E1" s="2"/>
      <x:c r="F1" s="2"/>
    </x:row>
    <x:row r="2">
      <x:c r="A2" s="4" t="str">
        <x:v>Summierung von „Diff. in GC“ | Quelle: GitHub Issue #2 | 2 Geschäfte</x:v>
      </x:c>
      <x:c r="B2" s="4"/>
      <x:c r="C2" s="4"/>
      <x:c r="D2" s="4"/>
      <x:c r="E2" s="4"/>
      <x:c r="F2" s="4"/>
    </x:row>
    <x:row r="4">
      <x:c r="A4" s="6" t="str">
        <x:v>Entity</x:v>
      </x:c>
      <x:c r="B4" s="6" t="str">
        <x:v>Counterparty</x:v>
      </x:c>
      <x:c r="C4" s="6" t="str">
        <x:v>Value Date</x:v>
      </x:c>
      <x:c r="D4" s="6" t="str">
        <x:v>Currency</x:v>
      </x:c>
      <x:c r="E4" s="6" t="str">
        <x:v>Deals</x:v>
      </x:c>
      <x:c r="F4" s="6" t="str">
        <x:v>Sum Diff. in GC</x:v>
      </x:c>
    </x:row>
    <x:row r="5">
      <x:c r="A5" s="7" t="str">
        <x:v>L_6218_IT</x:v>
      </x:c>
      <x:c r="B5" s="7" t="str">
        <x:v>L_0100_LU</x:v>
      </x:c>
      <x:c r="C5" s="8" t="n">
        <x:v>46258</x:v>
      </x:c>
      <x:c r="D5" s="7" t="str">
        <x:v>USD</x:v>
      </x:c>
      <x:c r="E5" s="7" t="n">
        <x:f>COUNTIFS('Details'!$B$2:$B$3,A5,'Details'!$C$2:$C$3,B5,'Details'!$E$2:$E$3,C5,'Details'!$H$2:$H$3,D5)</x:f>
        <x:v>2</x:v>
      </x:c>
      <x:c r="F5" s="9" t="n">
        <x:f>SUMIFS('Details'!$N$2:$N$3,'Details'!$B$2:$B$3,A5,'Details'!$C$2:$C$3,B5,'Details'!$E$2:$E$3,C5,'Details'!$H$2:$H$3,D5)</x:f>
        <x:v>432.21000000000004</x:v>
      </x:c>
    </x:row>
    <x:row r="6">
      <x:c r="A6" s="11" t="str">
        <x:v>Summe Diff. in GC</x:v>
      </x:c>
      <x:c r="B6" s="11"/>
      <x:c r="C6" s="11"/>
      <x:c r="D6" s="11"/>
      <x:c r="E6" s="11"/>
      <x:c r="F6" s="12" t="n">
        <x:f>SUM(F5:F5)</x:f>
        <x:v>432.21000000000004</x:v>
      </x:c>
    </x:row>
  </x:sheetData>
  <x:mergeCells>
    <x:mergeCell ref="A1:F1"/>
    <x:mergeCell ref="A2:F2"/>
    <x:mergeCell ref="A6:E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2" hidden="0" customWidth="1"/>
    <x:col min="5" max="5" width="14" hidden="0" customWidth="1"/>
    <x:col min="6" max="6" width="12" hidden="0" customWidth="1"/>
    <x:col min="7" max="7" width="12" hidden="0" customWidth="1"/>
    <x:col min="8" max="8" width="10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4" hidden="0" customWidth="1"/>
  </x:cols>
  <x:sheetData>
    <x:row r="1">
      <x:c r="A1" s="16" t="str">
        <x:v>Reference</x:v>
      </x:c>
      <x:c r="B1" s="16" t="str">
        <x:v>Entity</x:v>
      </x:c>
      <x:c r="C1" s="16" t="str">
        <x:v>Counterparty</x:v>
      </x:c>
      <x:c r="D1" s="16" t="str">
        <x:v>Int/Ext</x:v>
      </x:c>
      <x:c r="E1" s="16" t="str">
        <x:v>Value Date</x:v>
      </x:c>
      <x:c r="F1" s="16" t="str">
        <x:v>Deal Type</x:v>
      </x:c>
      <x:c r="G1" s="16" t="str">
        <x:v>Buy/Sell</x:v>
      </x:c>
      <x:c r="H1" s="16" t="str">
        <x:v>Currency</x:v>
      </x:c>
      <x:c r="I1" s="16" t="str">
        <x:v>Amount</x:v>
      </x:c>
      <x:c r="J1" s="16" t="str">
        <x:v>Rate</x:v>
      </x:c>
      <x:c r="K1" s="16" t="str">
        <x:v>Equivalent Currency</x:v>
      </x:c>
      <x:c r="L1" s="16" t="str">
        <x:v>Equivalent Amount EUR</x:v>
      </x:c>
      <x:c r="M1" s="16" t="str">
        <x:v>Mark-to-market</x:v>
      </x:c>
      <x:c r="N1" s="16" t="str">
        <x:v>Diff. in GC</x:v>
      </x:c>
      <x:c r="O1" s="16" t="str">
        <x:v>Amount (MTM) EUR</x:v>
      </x:c>
      <x:c r="P1" s="16" t="str">
        <x:v>Portfolio</x:v>
      </x:c>
    </x:row>
    <x:row r="2">
      <x:c r="A2" t="str">
        <x:v>FW-105327</x:v>
      </x:c>
      <x:c r="B2" t="str">
        <x:v>L_6218_IT</x:v>
      </x:c>
      <x:c r="C2" t="str">
        <x:v>L_0100_LU</x:v>
      </x:c>
      <x:c r="D2" t="str">
        <x:v>Internal</x:v>
      </x:c>
      <x:c r="E2" s="8" t="n">
        <x:v>46258</x:v>
      </x:c>
      <x:c r="F2" t="str">
        <x:v>Forward</x:v>
      </x:c>
      <x:c r="G2" t="str">
        <x:v>Buy</x:v>
      </x:c>
      <x:c r="H2" t="str">
        <x:v>USD</x:v>
      </x:c>
      <x:c r="I2" s="9" t="n">
        <x:v>130000</x:v>
      </x:c>
      <x:c r="J2" s="17" t="n">
        <x:v>1.142322</x:v>
      </x:c>
      <x:c r="K2" t="str">
        <x:v>EUR</x:v>
      </x:c>
      <x:c r="L2" s="9" t="n">
        <x:v>-113803.29</x:v>
      </x:c>
      <x:c r="M2" s="9" t="n">
        <x:v>1.1681</x:v>
      </x:c>
      <x:c r="N2" s="9" t="n">
        <x:v>-2511.45</x:v>
      </x:c>
      <x:c r="O2" s="9" t="n">
        <x:v>-111291.84</x:v>
      </x:c>
      <x:c r="P2" t="str">
        <x:v>FX-OP-UDL</x:v>
      </x:c>
    </x:row>
    <x:row r="3">
      <x:c r="A3" t="str">
        <x:v>FW-105728</x:v>
      </x:c>
      <x:c r="B3" t="str">
        <x:v>L_6218_IT</x:v>
      </x:c>
      <x:c r="C3" t="str">
        <x:v>L_0100_LU</x:v>
      </x:c>
      <x:c r="D3" t="str">
        <x:v>Internal</x:v>
      </x:c>
      <x:c r="E3" s="8" t="n">
        <x:v>46258</x:v>
      </x:c>
      <x:c r="F3" t="str">
        <x:v>Forward</x:v>
      </x:c>
      <x:c r="G3" t="str">
        <x:v>Sell</x:v>
      </x:c>
      <x:c r="H3" t="str">
        <x:v>USD</x:v>
      </x:c>
      <x:c r="I3" s="9" t="n">
        <x:v>-130000</x:v>
      </x:c>
      <x:c r="J3" s="17" t="n">
        <x:v>1.138</x:v>
      </x:c>
      <x:c r="K3" t="str">
        <x:v>EUR</x:v>
      </x:c>
      <x:c r="L3" s="9" t="n">
        <x:v>114235.5</x:v>
      </x:c>
      <x:c r="M3" s="9" t="n">
        <x:v>1.1681</x:v>
      </x:c>
      <x:c r="N3" s="9" t="n">
        <x:v>2943.66</x:v>
      </x:c>
      <x:c r="O3" s="9" t="n">
        <x:v>111291.84</x:v>
      </x:c>
      <x:c r="P3" t="str">
        <x:v>FX-OP-UDL</x:v>
      </x:c>
    </x:row>
  </x:sheetData>
  <x:pageMargins left="0.7" right="0.7" top="0.75" bottom="0.75" header="0.3" footer="0.3"/>
</x:worksheet>
</file>