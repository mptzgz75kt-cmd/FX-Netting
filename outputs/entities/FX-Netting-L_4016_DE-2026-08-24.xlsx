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5834f268844a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d9e6656b78c04ef5"/>
    <x:sheet xmlns:r="http://schemas.openxmlformats.org/officeDocument/2006/relationships" name="Details" sheetId="2" r:id="R1586ae9ba6e446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090efe00364335" /><Relationship Type="http://schemas.openxmlformats.org/officeDocument/2006/relationships/theme" Target="/xl/theme/theme1.xml" Id="Rde2483ff4a984a0d" /><Relationship Type="http://schemas.openxmlformats.org/officeDocument/2006/relationships/sharedStrings" Target="/xl/sharedStrings.xml" Id="R7a8f30e398d44671" /><Relationship Type="http://schemas.openxmlformats.org/officeDocument/2006/relationships/worksheet" Target="/xl/worksheets/sheet1.xml" Id="Rd9e6656b78c04ef5" /><Relationship Type="http://schemas.openxmlformats.org/officeDocument/2006/relationships/worksheet" Target="/xl/worksheets/sheet2.xml" Id="R1586ae9ba6e446e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</x:cols>
  <x:sheetData>
    <x:row r="1">
      <x:c r="A1" s="2" t="str">
        <x:v>FX Netting – L_4016_DE</x:v>
      </x:c>
      <x:c r="B1" s="2"/>
      <x:c r="C1" s="2"/>
      <x:c r="D1" s="2"/>
      <x:c r="E1" s="2"/>
      <x:c r="F1" s="2"/>
    </x:row>
    <x:row r="2">
      <x:c r="A2" s="4" t="str">
        <x:v>Summierung von „Diff. in GC“ | Quelle: GitHub Issue #2 | 1 Geschäfte</x:v>
      </x:c>
      <x:c r="B2" s="4"/>
      <x:c r="C2" s="4"/>
      <x:c r="D2" s="4"/>
      <x:c r="E2" s="4"/>
      <x:c r="F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Sum Diff. in GC</x:v>
      </x:c>
    </x:row>
    <x:row r="5">
      <x:c r="A5" s="7" t="str">
        <x:v>L_4016_DE</x:v>
      </x:c>
      <x:c r="B5" s="7" t="str">
        <x:v>L_0100_LU</x:v>
      </x:c>
      <x:c r="C5" s="8" t="n">
        <x:v>46258</x:v>
      </x:c>
      <x:c r="D5" s="7" t="str">
        <x:v>SGD</x:v>
      </x:c>
      <x:c r="E5" s="7" t="n">
        <x:f>COUNTIFS('Details'!$B$2:$B$2,A5,'Details'!$C$2:$C$2,B5,'Details'!$E$2:$E$2,C5,'Details'!$H$2:$H$2,D5)</x:f>
        <x:v>1</x:v>
      </x:c>
      <x:c r="F5" s="9" t="n">
        <x:f>SUMIFS('Details'!$N$2:$N$2,'Details'!$B$2:$B$2,A5,'Details'!$C$2:$C$2,B5,'Details'!$E$2:$E$2,C5,'Details'!$H$2:$H$2,D5)</x:f>
        <x:v>-1422.88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FW-105707</x:v>
      </x:c>
      <x:c r="B2" t="str">
        <x:v>L_4016_DE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SGD</x:v>
      </x:c>
      <x:c r="I2" s="9" t="n">
        <x:v>300000</x:v>
      </x:c>
      <x:c r="J2" s="14" t="n">
        <x:v>1.4756</x:v>
      </x:c>
      <x:c r="K2" t="str">
        <x:v>EUR</x:v>
      </x:c>
      <x:c r="L2" s="9" t="n">
        <x:v>-203307.13</x:v>
      </x:c>
      <x:c r="M2" s="9" t="n">
        <x:v>1.486</x:v>
      </x:c>
      <x:c r="N2" s="9" t="n">
        <x:v>-1422.88</x:v>
      </x:c>
      <x:c r="O2" s="9" t="n">
        <x:v>-201884.25</x:v>
      </x:c>
      <x:c r="P2" t="str">
        <x:v>FX-OP-UDL</x:v>
      </x:c>
    </x:row>
  </x:sheetData>
  <x:pageMargins left="0.7" right="0.7" top="0.75" bottom="0.75" header="0.3" footer="0.3"/>
</x:worksheet>
</file>