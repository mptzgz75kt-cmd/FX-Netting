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a05a29ded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ting" sheetId="1" r:id="Ra06d051f55e34b26"/>
    <x:sheet xmlns:r="http://schemas.openxmlformats.org/officeDocument/2006/relationships" name="Details" sheetId="2" r:id="R0e675138876e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-#,##0.00;-"/>
    <x:numFmt numFmtId="202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top style="medium">
        <x:color rgb="FF17365D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35972629b4783" /><Relationship Type="http://schemas.openxmlformats.org/officeDocument/2006/relationships/theme" Target="/xl/theme/theme1.xml" Id="R7a62188aa7064c59" /><Relationship Type="http://schemas.openxmlformats.org/officeDocument/2006/relationships/sharedStrings" Target="/xl/sharedStrings.xml" Id="Ra5f696380785492b" /><Relationship Type="http://schemas.openxmlformats.org/officeDocument/2006/relationships/worksheet" Target="/xl/worksheets/sheet1.xml" Id="Ra06d051f55e34b26" /><Relationship Type="http://schemas.openxmlformats.org/officeDocument/2006/relationships/worksheet" Target="/xl/worksheets/sheet2.xml" Id="R0e675138876e47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20" hidden="0" customWidth="1"/>
  </x:cols>
  <x:sheetData>
    <x:row r="1">
      <x:c r="A1" s="2" t="str">
        <x:v>FX Netting – L_6500_AU</x:v>
      </x:c>
      <x:c r="B1" s="2"/>
      <x:c r="C1" s="2"/>
      <x:c r="D1" s="2"/>
      <x:c r="E1" s="2"/>
      <x:c r="F1" s="2"/>
    </x:row>
    <x:row r="2">
      <x:c r="A2" s="4" t="str">
        <x:v>Summierung von „Diff. in GC“ | Quelle: GitHub Issue #2 | 13 Geschäfte</x:v>
      </x:c>
      <x:c r="B2" s="4"/>
      <x:c r="C2" s="4"/>
      <x:c r="D2" s="4"/>
      <x:c r="E2" s="4"/>
      <x:c r="F2" s="4"/>
    </x:row>
    <x:row r="4">
      <x:c r="A4" s="6" t="str">
        <x:v>Entity</x:v>
      </x:c>
      <x:c r="B4" s="6" t="str">
        <x:v>Counterparty</x:v>
      </x:c>
      <x:c r="C4" s="6" t="str">
        <x:v>Value Date</x:v>
      </x:c>
      <x:c r="D4" s="6" t="str">
        <x:v>Currency</x:v>
      </x:c>
      <x:c r="E4" s="6" t="str">
        <x:v>Deals</x:v>
      </x:c>
      <x:c r="F4" s="6" t="str">
        <x:v>Sum Diff. in GC</x:v>
      </x:c>
    </x:row>
    <x:row r="5">
      <x:c r="A5" s="7" t="str">
        <x:v>L_6500_AU</x:v>
      </x:c>
      <x:c r="B5" s="7" t="str">
        <x:v>L_0100_LU</x:v>
      </x:c>
      <x:c r="C5" s="8" t="n">
        <x:v>46258</x:v>
      </x:c>
      <x:c r="D5" s="7" t="str">
        <x:v>CNY</x:v>
      </x:c>
      <x:c r="E5" s="7" t="n">
        <x:f>COUNTIFS('Details'!$B$2:$B$14,A5,'Details'!$C$2:$C$14,B5,'Details'!$E$2:$E$14,C5,'Details'!$H$2:$H$14,D5)</x:f>
        <x:v>5</x:v>
      </x:c>
      <x:c r="F5" s="9" t="n">
        <x:f>SUMIFS('Details'!$N$2:$N$14,'Details'!$B$2:$B$14,A5,'Details'!$C$2:$C$14,B5,'Details'!$E$2:$E$14,C5,'Details'!$H$2:$H$14,D5)</x:f>
        <x:v>-8216.29</x:v>
      </x:c>
    </x:row>
    <x:row r="6">
      <x:c r="A6" s="7" t="str">
        <x:v>L_6500_AU</x:v>
      </x:c>
      <x:c r="B6" s="7" t="str">
        <x:v>L_0100_LU</x:v>
      </x:c>
      <x:c r="C6" s="8" t="n">
        <x:v>46258</x:v>
      </x:c>
      <x:c r="D6" s="7" t="str">
        <x:v>EUR</x:v>
      </x:c>
      <x:c r="E6" s="7" t="n">
        <x:f>COUNTIFS('Details'!$B$2:$B$14,A6,'Details'!$C$2:$C$14,B6,'Details'!$E$2:$E$14,C6,'Details'!$H$2:$H$14,D6)</x:f>
        <x:v>6</x:v>
      </x:c>
      <x:c r="F6" s="9" t="n">
        <x:f>SUMIFS('Details'!$N$2:$N$14,'Details'!$B$2:$B$14,A6,'Details'!$C$2:$C$14,B6,'Details'!$E$2:$E$14,C6,'Details'!$H$2:$H$14,D6)</x:f>
        <x:v>-522.5699999999999</x:v>
      </x:c>
    </x:row>
    <x:row r="7">
      <x:c r="A7" s="7" t="str">
        <x:v>L_6500_AU</x:v>
      </x:c>
      <x:c r="B7" s="7" t="str">
        <x:v>L_0100_LU</x:v>
      </x:c>
      <x:c r="C7" s="8" t="n">
        <x:v>46258</x:v>
      </x:c>
      <x:c r="D7" s="7" t="str">
        <x:v>USD</x:v>
      </x:c>
      <x:c r="E7" s="7" t="n">
        <x:f>COUNTIFS('Details'!$B$2:$B$14,A7,'Details'!$C$2:$C$14,B7,'Details'!$E$2:$E$14,C7,'Details'!$H$2:$H$14,D7)</x:f>
        <x:v>2</x:v>
      </x:c>
      <x:c r="F7" s="9" t="n">
        <x:f>SUMIFS('Details'!$N$2:$N$14,'Details'!$B$2:$B$14,A7,'Details'!$C$2:$C$14,B7,'Details'!$E$2:$E$14,C7,'Details'!$H$2:$H$14,D7)</x:f>
        <x:v>-2341.0299999999997</x:v>
      </x:c>
    </x:row>
    <x:row r="8">
      <x:c r="A8" s="11" t="str">
        <x:v>Summe Diff. in GC</x:v>
      </x:c>
      <x:c r="B8" s="11"/>
      <x:c r="C8" s="11"/>
      <x:c r="D8" s="11"/>
      <x:c r="E8" s="11"/>
      <x:c r="F8" s="12" t="n">
        <x:f>SUM(F5:F7)</x:f>
        <x:v>-11079.89</x:v>
      </x:c>
    </x:row>
  </x:sheetData>
  <x:mergeCells>
    <x:mergeCell ref="A1:F1"/>
    <x:mergeCell ref="A2:F2"/>
    <x:mergeCell ref="A8:E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</x:cols>
  <x:sheetData>
    <x:row r="1">
      <x:c r="A1" s="16" t="str">
        <x:v>Reference</x:v>
      </x:c>
      <x:c r="B1" s="16" t="str">
        <x:v>Entity</x:v>
      </x:c>
      <x:c r="C1" s="16" t="str">
        <x:v>Counterparty</x:v>
      </x:c>
      <x:c r="D1" s="16" t="str">
        <x:v>Int/Ext</x:v>
      </x:c>
      <x:c r="E1" s="16" t="str">
        <x:v>Value Date</x:v>
      </x:c>
      <x:c r="F1" s="16" t="str">
        <x:v>Deal Type</x:v>
      </x:c>
      <x:c r="G1" s="16" t="str">
        <x:v>Buy/Sell</x:v>
      </x:c>
      <x:c r="H1" s="16" t="str">
        <x:v>Currency</x:v>
      </x:c>
      <x:c r="I1" s="16" t="str">
        <x:v>Amount</x:v>
      </x:c>
      <x:c r="J1" s="16" t="str">
        <x:v>Rate</x:v>
      </x:c>
      <x:c r="K1" s="16" t="str">
        <x:v>Equivalent Currency</x:v>
      </x:c>
      <x:c r="L1" s="16" t="str">
        <x:v>Equivalent Amount EUR</x:v>
      </x:c>
      <x:c r="M1" s="16" t="str">
        <x:v>Mark-to-market</x:v>
      </x:c>
      <x:c r="N1" s="16" t="str">
        <x:v>Diff. in GC</x:v>
      </x:c>
      <x:c r="O1" s="16" t="str">
        <x:v>Amount (MTM) EUR</x:v>
      </x:c>
      <x:c r="P1" s="16" t="str">
        <x:v>Portfolio</x:v>
      </x:c>
    </x:row>
    <x:row r="2">
      <x:c r="A2" t="str">
        <x:v>FW-105110</x:v>
      </x:c>
      <x:c r="B2" t="str">
        <x:v>L_6500_AU</x:v>
      </x:c>
      <x:c r="C2" t="str">
        <x:v>L_0100_LU</x:v>
      </x:c>
      <x:c r="D2" t="str">
        <x:v>Internal</x:v>
      </x:c>
      <x:c r="E2" s="8" t="n">
        <x:v>46258</x:v>
      </x:c>
      <x:c r="F2" t="str">
        <x:v>Forward</x:v>
      </x:c>
      <x:c r="G2" t="str">
        <x:v>Buy</x:v>
      </x:c>
      <x:c r="H2" t="str">
        <x:v>EUR</x:v>
      </x:c>
      <x:c r="I2" s="9" t="n">
        <x:v>100000</x:v>
      </x:c>
      <x:c r="J2" s="17" t="n">
        <x:v>1.655</x:v>
      </x:c>
      <x:c r="K2" t="str">
        <x:v>AUD</x:v>
      </x:c>
      <x:c r="L2" s="9" t="n">
        <x:v>-165500</x:v>
      </x:c>
      <x:c r="M2" s="9" t="n">
        <x:v>1.6438</x:v>
      </x:c>
      <x:c r="N2" s="9" t="n">
        <x:v>-681.35</x:v>
      </x:c>
      <x:c r="O2" s="9" t="n">
        <x:v>-164380</x:v>
      </x:c>
      <x:c r="P2" t="str">
        <x:v>FX-OP-UDL</x:v>
      </x:c>
    </x:row>
    <x:row r="3">
      <x:c r="A3" t="str">
        <x:v>FW-105147</x:v>
      </x:c>
      <x:c r="B3" t="str">
        <x:v>L_6500_AU</x:v>
      </x:c>
      <x:c r="C3" t="str">
        <x:v>L_0100_LU</x:v>
      </x:c>
      <x:c r="D3" t="str">
        <x:v>Internal</x:v>
      </x:c>
      <x:c r="E3" s="8" t="n">
        <x:v>46258</x:v>
      </x:c>
      <x:c r="F3" t="str">
        <x:v>Forward</x:v>
      </x:c>
      <x:c r="G3" t="str">
        <x:v>Buy</x:v>
      </x:c>
      <x:c r="H3" t="str">
        <x:v>CNY</x:v>
      </x:c>
      <x:c r="I3" s="9" t="n">
        <x:v>500000</x:v>
      </x:c>
      <x:c r="J3" s="17" t="n">
        <x:v>4.684</x:v>
      </x:c>
      <x:c r="K3" t="str">
        <x:v>AUD</x:v>
      </x:c>
      <x:c r="L3" s="9" t="n">
        <x:v>-106746.37</x:v>
      </x:c>
      <x:c r="M3" s="9" t="n">
        <x:v>4.777832</x:v>
      </x:c>
      <x:c r="N3" s="9" t="n">
        <x:v>-1275.33</x:v>
      </x:c>
      <x:c r="O3" s="9" t="n">
        <x:v>-104649.98</x:v>
      </x:c>
      <x:c r="P3" t="str">
        <x:v>FX-OP-UDL</x:v>
      </x:c>
    </x:row>
    <x:row r="4">
      <x:c r="A4" t="str">
        <x:v>FW-105282</x:v>
      </x:c>
      <x:c r="B4" t="str">
        <x:v>L_6500_AU</x:v>
      </x:c>
      <x:c r="C4" t="str">
        <x:v>L_0100_LU</x:v>
      </x:c>
      <x:c r="D4" t="str">
        <x:v>Internal</x:v>
      </x:c>
      <x:c r="E4" s="8" t="n">
        <x:v>46258</x:v>
      </x:c>
      <x:c r="F4" t="str">
        <x:v>Forward</x:v>
      </x:c>
      <x:c r="G4" t="str">
        <x:v>Buy</x:v>
      </x:c>
      <x:c r="H4" t="str">
        <x:v>EUR</x:v>
      </x:c>
      <x:c r="I4" s="9" t="n">
        <x:v>80000</x:v>
      </x:c>
      <x:c r="J4" s="17" t="n">
        <x:v>1.6538</x:v>
      </x:c>
      <x:c r="K4" t="str">
        <x:v>AUD</x:v>
      </x:c>
      <x:c r="L4" s="9" t="n">
        <x:v>-132304</x:v>
      </x:c>
      <x:c r="M4" s="9" t="n">
        <x:v>1.6438</x:v>
      </x:c>
      <x:c r="N4" s="9" t="n">
        <x:v>-486.68</x:v>
      </x:c>
      <x:c r="O4" s="9" t="n">
        <x:v>-131504</x:v>
      </x:c>
      <x:c r="P4" t="str">
        <x:v>FX-OP-UDL</x:v>
      </x:c>
    </x:row>
    <x:row r="5">
      <x:c r="A5" t="str">
        <x:v>FW-105330</x:v>
      </x:c>
      <x:c r="B5" t="str">
        <x:v>L_6500_AU</x:v>
      </x:c>
      <x:c r="C5" t="str">
        <x:v>L_0100_LU</x:v>
      </x:c>
      <x:c r="D5" t="str">
        <x:v>Internal</x:v>
      </x:c>
      <x:c r="E5" s="8" t="n">
        <x:v>46258</x:v>
      </x:c>
      <x:c r="F5" t="str">
        <x:v>Forward</x:v>
      </x:c>
      <x:c r="G5" t="str">
        <x:v>Buy</x:v>
      </x:c>
      <x:c r="H5" t="str">
        <x:v>CNY</x:v>
      </x:c>
      <x:c r="I5" s="9" t="n">
        <x:v>1000000</x:v>
      </x:c>
      <x:c r="J5" s="17" t="n">
        <x:v>4.6953</x:v>
      </x:c>
      <x:c r="K5" t="str">
        <x:v>AUD</x:v>
      </x:c>
      <x:c r="L5" s="9" t="n">
        <x:v>-212978.94</x:v>
      </x:c>
      <x:c r="M5" s="9" t="n">
        <x:v>4.777832</x:v>
      </x:c>
      <x:c r="N5" s="9" t="n">
        <x:v>-2238.09</x:v>
      </x:c>
      <x:c r="O5" s="9" t="n">
        <x:v>-209299.96</x:v>
      </x:c>
      <x:c r="P5" t="str">
        <x:v>FX-OP-UDL</x:v>
      </x:c>
    </x:row>
    <x:row r="6">
      <x:c r="A6" t="str">
        <x:v>FW-105333</x:v>
      </x:c>
      <x:c r="B6" t="str">
        <x:v>L_6500_AU</x:v>
      </x:c>
      <x:c r="C6" t="str">
        <x:v>L_0100_LU</x:v>
      </x:c>
      <x:c r="D6" t="str">
        <x:v>Internal</x:v>
      </x:c>
      <x:c r="E6" s="8" t="n">
        <x:v>46258</x:v>
      </x:c>
      <x:c r="F6" t="str">
        <x:v>Forward</x:v>
      </x:c>
      <x:c r="G6" t="str">
        <x:v>Buy</x:v>
      </x:c>
      <x:c r="H6" t="str">
        <x:v>USD</x:v>
      </x:c>
      <x:c r="I6" s="9" t="n">
        <x:v>70000</x:v>
      </x:c>
      <x:c r="J6" s="17" t="n">
        <x:v>0.696409</x:v>
      </x:c>
      <x:c r="K6" t="str">
        <x:v>AUD</x:v>
      </x:c>
      <x:c r="L6" s="9" t="n">
        <x:v>-100515.65</x:v>
      </x:c>
      <x:c r="M6" s="9" t="n">
        <x:v>0.71061</x:v>
      </x:c>
      <x:c r="N6" s="9" t="n">
        <x:v>-1221.97</x:v>
      </x:c>
      <x:c r="O6" s="9" t="n">
        <x:v>-98506.98</x:v>
      </x:c>
      <x:c r="P6" t="str">
        <x:v>FX-OP-UDL</x:v>
      </x:c>
    </x:row>
    <x:row r="7">
      <x:c r="A7" t="str">
        <x:v>FW-105369</x:v>
      </x:c>
      <x:c r="B7" t="str">
        <x:v>L_6500_AU</x:v>
      </x:c>
      <x:c r="C7" t="str">
        <x:v>L_0100_LU</x:v>
      </x:c>
      <x:c r="D7" t="str">
        <x:v>Internal</x:v>
      </x:c>
      <x:c r="E7" s="8" t="n">
        <x:v>46258</x:v>
      </x:c>
      <x:c r="F7" t="str">
        <x:v>Forward</x:v>
      </x:c>
      <x:c r="G7" t="str">
        <x:v>Buy</x:v>
      </x:c>
      <x:c r="H7" t="str">
        <x:v>EUR</x:v>
      </x:c>
      <x:c r="I7" s="9" t="n">
        <x:v>80000</x:v>
      </x:c>
      <x:c r="J7" s="17" t="n">
        <x:v>1.6438</x:v>
      </x:c>
      <x:c r="K7" t="str">
        <x:v>AUD</x:v>
      </x:c>
      <x:c r="L7" s="9" t="n">
        <x:v>-131504</x:v>
      </x:c>
      <x:c r="M7" s="9" t="n">
        <x:v>1.6438</x:v>
      </x:c>
      <x:c r="N7" s="9" t="n">
        <x:v>0</x:v>
      </x:c>
      <x:c r="O7" s="9" t="n">
        <x:v>-131504</x:v>
      </x:c>
      <x:c r="P7" t="str">
        <x:v>FX-OP-UDL</x:v>
      </x:c>
    </x:row>
    <x:row r="8">
      <x:c r="A8" t="str">
        <x:v>FW-105514</x:v>
      </x:c>
      <x:c r="B8" t="str">
        <x:v>L_6500_AU</x:v>
      </x:c>
      <x:c r="C8" t="str">
        <x:v>L_0100_LU</x:v>
      </x:c>
      <x:c r="D8" t="str">
        <x:v>Internal</x:v>
      </x:c>
      <x:c r="E8" s="8" t="n">
        <x:v>46258</x:v>
      </x:c>
      <x:c r="F8" t="str">
        <x:v>Forward</x:v>
      </x:c>
      <x:c r="G8" t="str">
        <x:v>Buy</x:v>
      </x:c>
      <x:c r="H8" t="str">
        <x:v>EUR</x:v>
      </x:c>
      <x:c r="I8" s="9" t="n">
        <x:v>200000</x:v>
      </x:c>
      <x:c r="J8" s="17" t="n">
        <x:v>1.636</x:v>
      </x:c>
      <x:c r="K8" t="str">
        <x:v>AUD</x:v>
      </x:c>
      <x:c r="L8" s="9" t="n">
        <x:v>-327200</x:v>
      </x:c>
      <x:c r="M8" s="9" t="n">
        <x:v>1.6438</x:v>
      </x:c>
      <x:c r="N8" s="9" t="n">
        <x:v>949.02</x:v>
      </x:c>
      <x:c r="O8" s="9" t="n">
        <x:v>-328760</x:v>
      </x:c>
      <x:c r="P8" t="str">
        <x:v>FX-OP-UDL</x:v>
      </x:c>
    </x:row>
    <x:row r="9">
      <x:c r="A9" t="str">
        <x:v>FW-105519</x:v>
      </x:c>
      <x:c r="B9" t="str">
        <x:v>L_6500_AU</x:v>
      </x:c>
      <x:c r="C9" t="str">
        <x:v>L_0100_LU</x:v>
      </x:c>
      <x:c r="D9" t="str">
        <x:v>Internal</x:v>
      </x:c>
      <x:c r="E9" s="8" t="n">
        <x:v>46258</x:v>
      </x:c>
      <x:c r="F9" t="str">
        <x:v>Forward</x:v>
      </x:c>
      <x:c r="G9" t="str">
        <x:v>Buy</x:v>
      </x:c>
      <x:c r="H9" t="str">
        <x:v>CNY</x:v>
      </x:c>
      <x:c r="I9" s="9" t="n">
        <x:v>600000</x:v>
      </x:c>
      <x:c r="J9" s="17" t="n">
        <x:v>4.7143</x:v>
      </x:c>
      <x:c r="K9" t="str">
        <x:v>AUD</x:v>
      </x:c>
      <x:c r="L9" s="9" t="n">
        <x:v>-127272.34</x:v>
      </x:c>
      <x:c r="M9" s="9" t="n">
        <x:v>4.777832</x:v>
      </x:c>
      <x:c r="N9" s="9" t="n">
        <x:v>-1029.55</x:v>
      </x:c>
      <x:c r="O9" s="9" t="n">
        <x:v>-125579.97</x:v>
      </x:c>
      <x:c r="P9" t="str">
        <x:v>FX-OP-UDL</x:v>
      </x:c>
    </x:row>
    <x:row r="10">
      <x:c r="A10" t="str">
        <x:v>FW-105583</x:v>
      </x:c>
      <x:c r="B10" t="str">
        <x:v>L_6500_AU</x:v>
      </x:c>
      <x:c r="C10" t="str">
        <x:v>L_0100_LU</x:v>
      </x:c>
      <x:c r="D10" t="str">
        <x:v>Internal</x:v>
      </x:c>
      <x:c r="E10" s="8" t="n">
        <x:v>46258</x:v>
      </x:c>
      <x:c r="F10" t="str">
        <x:v>Forward</x:v>
      </x:c>
      <x:c r="G10" t="str">
        <x:v>Buy</x:v>
      </x:c>
      <x:c r="H10" t="str">
        <x:v>USD</x:v>
      </x:c>
      <x:c r="I10" s="9" t="n">
        <x:v>70000</x:v>
      </x:c>
      <x:c r="J10" s="17" t="n">
        <x:v>0.697583</x:v>
      </x:c>
      <x:c r="K10" t="str">
        <x:v>AUD</x:v>
      </x:c>
      <x:c r="L10" s="9" t="n">
        <x:v>-100346.48</x:v>
      </x:c>
      <x:c r="M10" s="9" t="n">
        <x:v>0.71061</x:v>
      </x:c>
      <x:c r="N10" s="9" t="n">
        <x:v>-1119.06</x:v>
      </x:c>
      <x:c r="O10" s="9" t="n">
        <x:v>-98506.98</x:v>
      </x:c>
      <x:c r="P10" t="str">
        <x:v>FX-OP-UDL</x:v>
      </x:c>
    </x:row>
    <x:row r="11">
      <x:c r="A11" t="str">
        <x:v>FW-105665</x:v>
      </x:c>
      <x:c r="B11" t="str">
        <x:v>L_6500_AU</x:v>
      </x:c>
      <x:c r="C11" t="str">
        <x:v>L_0100_LU</x:v>
      </x:c>
      <x:c r="D11" t="str">
        <x:v>Internal</x:v>
      </x:c>
      <x:c r="E11" s="8" t="n">
        <x:v>46258</x:v>
      </x:c>
      <x:c r="F11" t="str">
        <x:v>Forward</x:v>
      </x:c>
      <x:c r="G11" t="str">
        <x:v>Buy</x:v>
      </x:c>
      <x:c r="H11" t="str">
        <x:v>CNY</x:v>
      </x:c>
      <x:c r="I11" s="9" t="n">
        <x:v>1000000</x:v>
      </x:c>
      <x:c r="J11" s="17" t="n">
        <x:v>4.6759</x:v>
      </x:c>
      <x:c r="K11" t="str">
        <x:v>AUD</x:v>
      </x:c>
      <x:c r="L11" s="9" t="n">
        <x:v>-213862.57</x:v>
      </x:c>
      <x:c r="M11" s="9" t="n">
        <x:v>4.777832</x:v>
      </x:c>
      <x:c r="N11" s="9" t="n">
        <x:v>-2775.65</x:v>
      </x:c>
      <x:c r="O11" s="9" t="n">
        <x:v>-209299.96</x:v>
      </x:c>
      <x:c r="P11" t="str">
        <x:v>FX-OP-UDL</x:v>
      </x:c>
    </x:row>
    <x:row r="12">
      <x:c r="A12" t="str">
        <x:v>FW-105668</x:v>
      </x:c>
      <x:c r="B12" t="str">
        <x:v>L_6500_AU</x:v>
      </x:c>
      <x:c r="C12" t="str">
        <x:v>L_0100_LU</x:v>
      </x:c>
      <x:c r="D12" t="str">
        <x:v>Internal</x:v>
      </x:c>
      <x:c r="E12" s="8" t="n">
        <x:v>46258</x:v>
      </x:c>
      <x:c r="F12" t="str">
        <x:v>Forward</x:v>
      </x:c>
      <x:c r="G12" t="str">
        <x:v>Buy</x:v>
      </x:c>
      <x:c r="H12" t="str">
        <x:v>EUR</x:v>
      </x:c>
      <x:c r="I12" s="9" t="n">
        <x:v>80000</x:v>
      </x:c>
      <x:c r="J12" s="17" t="n">
        <x:v>1.6447</x:v>
      </x:c>
      <x:c r="K12" t="str">
        <x:v>AUD</x:v>
      </x:c>
      <x:c r="L12" s="9" t="n">
        <x:v>-131576</x:v>
      </x:c>
      <x:c r="M12" s="9" t="n">
        <x:v>1.6438</x:v>
      </x:c>
      <x:c r="N12" s="9" t="n">
        <x:v>-43.8</x:v>
      </x:c>
      <x:c r="O12" s="9" t="n">
        <x:v>-131504</x:v>
      </x:c>
      <x:c r="P12" t="str">
        <x:v>FX-OP-UDL</x:v>
      </x:c>
    </x:row>
    <x:row r="13">
      <x:c r="A13" t="str">
        <x:v>FW-105761</x:v>
      </x:c>
      <x:c r="B13" t="str">
        <x:v>L_6500_AU</x:v>
      </x:c>
      <x:c r="C13" t="str">
        <x:v>L_0100_LU</x:v>
      </x:c>
      <x:c r="D13" t="str">
        <x:v>Internal</x:v>
      </x:c>
      <x:c r="E13" s="8" t="n">
        <x:v>46258</x:v>
      </x:c>
      <x:c r="F13" t="str">
        <x:v>Forward</x:v>
      </x:c>
      <x:c r="G13" t="str">
        <x:v>Buy</x:v>
      </x:c>
      <x:c r="H13" t="str">
        <x:v>CNY</x:v>
      </x:c>
      <x:c r="I13" s="9" t="n">
        <x:v>500000</x:v>
      </x:c>
      <x:c r="J13" s="17" t="n">
        <x:v>4.7114</x:v>
      </x:c>
      <x:c r="K13" t="str">
        <x:v>AUD</x:v>
      </x:c>
      <x:c r="L13" s="9" t="n">
        <x:v>-106125.57</x:v>
      </x:c>
      <x:c r="M13" s="9" t="n">
        <x:v>4.777832</x:v>
      </x:c>
      <x:c r="N13" s="9" t="n">
        <x:v>-897.67</x:v>
      </x:c>
      <x:c r="O13" s="9" t="n">
        <x:v>-104649.98</x:v>
      </x:c>
      <x:c r="P13" t="str">
        <x:v>FX-OP-UDL</x:v>
      </x:c>
    </x:row>
    <x:row r="14">
      <x:c r="A14" t="str">
        <x:v>FW-105773</x:v>
      </x:c>
      <x:c r="B14" t="str">
        <x:v>L_6500_AU</x:v>
      </x:c>
      <x:c r="C14" t="str">
        <x:v>L_0100_LU</x:v>
      </x:c>
      <x:c r="D14" t="str">
        <x:v>Internal</x:v>
      </x:c>
      <x:c r="E14" s="8" t="n">
        <x:v>46258</x:v>
      </x:c>
      <x:c r="F14" t="str">
        <x:v>Forward</x:v>
      </x:c>
      <x:c r="G14" t="str">
        <x:v>Buy</x:v>
      </x:c>
      <x:c r="H14" t="str">
        <x:v>EUR</x:v>
      </x:c>
      <x:c r="I14" s="9" t="n">
        <x:v>70000</x:v>
      </x:c>
      <x:c r="J14" s="17" t="n">
        <x:v>1.6499</x:v>
      </x:c>
      <x:c r="K14" t="str">
        <x:v>AUD</x:v>
      </x:c>
      <x:c r="L14" s="9" t="n">
        <x:v>-115493</x:v>
      </x:c>
      <x:c r="M14" s="9" t="n">
        <x:v>1.6438</x:v>
      </x:c>
      <x:c r="N14" s="9" t="n">
        <x:v>-259.76</x:v>
      </x:c>
      <x:c r="O14" s="9" t="n">
        <x:v>-115066</x:v>
      </x:c>
      <x:c r="P14" t="str">
        <x:v>FX-OP-UDL</x:v>
      </x:c>
    </x:row>
  </x:sheetData>
  <x:pageMargins left="0.7" right="0.7" top="0.75" bottom="0.75" header="0.3" footer="0.3"/>
</x:worksheet>
</file>