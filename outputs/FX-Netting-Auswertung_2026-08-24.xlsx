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2febc2bdb4e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ting Summary" sheetId="1" r:id="R8b9dfd8e8d984929"/>
    <x:sheet xmlns:r="http://schemas.openxmlformats.org/officeDocument/2006/relationships" name="Raw Data" sheetId="2" r:id="R28660085b7dc44a6"/>
    <x:sheet xmlns:r="http://schemas.openxmlformats.org/officeDocument/2006/relationships" name="Checks" sheetId="3" r:id="Rd40b8f6e75aa44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;[Red](#,##0.00);-"/>
    <x:numFmt numFmtId="202" formatCode="0.0000"/>
    <x:numFmt numFmtId="203" formatCode="#,##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0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201" fontId="2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201" fontId="2" fillId="0" borderId="7" xfId="0" applyNumberFormat="1" applyFont="1" applyFill="1" applyBorder="1"/>
    <x:xf numFmtId="201" fontId="2" fillId="0" borderId="8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1" fillId="4" borderId="9" xfId="0" applyNumberFormat="1" applyFont="1" applyFill="1" applyBorder="1"/>
  </x:cellXfs>
  <x:cellStyles count="1">
    <x:cellStyle name="Normal" xfId="0"/>
  </x:cellStyles>
  <x:dxfs count="7"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color rgb="FF006100"/>
      </x:font>
      <x:fill>
        <x:patternFill patternType="solid">
          <x:bgColor rgb="FFC6E0B4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243e8febc54806" /><Relationship Type="http://schemas.openxmlformats.org/officeDocument/2006/relationships/theme" Target="/xl/theme/theme1.xml" Id="Reaf045e04e154b14" /><Relationship Type="http://schemas.openxmlformats.org/officeDocument/2006/relationships/sharedStrings" Target="/xl/sharedStrings.xml" Id="R4afe35e565e04e54" /><Relationship Type="http://schemas.openxmlformats.org/officeDocument/2006/relationships/worksheet" Target="/xl/worksheets/sheet1.xml" Id="R8b9dfd8e8d984929" /><Relationship Type="http://schemas.openxmlformats.org/officeDocument/2006/relationships/worksheet" Target="/xl/worksheets/sheet2.xml" Id="R28660085b7dc44a6" /><Relationship Type="http://schemas.openxmlformats.org/officeDocument/2006/relationships/worksheet" Target="/xl/worksheets/sheet3.xml" Id="Rd40b8f6e75aa44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39" hidden="0" customWidth="1"/>
    <x:col min="4" max="4" width="12" hidden="0" customWidth="1"/>
    <x:col min="5" max="5" width="9" hidden="0" customWidth="1"/>
    <x:col min="6" max="6" width="18" hidden="0" customWidth="1"/>
    <x:col min="7" max="7" width="18" hidden="0" customWidth="1"/>
    <x:col min="8" max="8" width="22" hidden="0" customWidth="1"/>
  </x:cols>
  <x:sheetData>
    <x:row r="1">
      <x:c r="A1" s="24" t="str">
        <x:v>FX Netting Auswertung</x:v>
      </x:c>
      <x:c r="B1" s="24"/>
      <x:c r="C1" s="24"/>
      <x:c r="D1" s="24"/>
      <x:c r="E1" s="24"/>
      <x:c r="F1" s="24"/>
      <x:c r="G1" s="24"/>
      <x:c r="H1" s="24"/>
    </x:row>
    <x:row r="2">
      <x:c r="A2" s="26" t="str">
        <x:v>Quelle: FX-Netting.csv (GitHub Issue #2) | 123 Geschäfte | Stand: 24.08.2026</x:v>
      </x:c>
      <x:c r="B2" s="26"/>
      <x:c r="C2" s="26"/>
      <x:c r="D2" s="26"/>
      <x:c r="E2" s="26"/>
      <x:c r="F2" s="26"/>
      <x:c r="G2" s="26"/>
      <x:c r="H2" s="26"/>
    </x:row>
    <x:row r="4">
      <x:c r="A4" s="28" t="str">
        <x:v>Kennzahl</x:v>
      </x:c>
      <x:c r="B4" s="28" t="str">
        <x:v>Wert</x:v>
      </x:c>
      <x:c r="C4" s="28" t="str">
        <x:v>Hinweis</x:v>
      </x:c>
      <x:c r="D4" s="28" t="str">
        <x:v>Status</x:v>
      </x:c>
    </x:row>
    <x:row r="5">
      <x:c r="A5" s="29" t="str">
        <x:v>Geschäfte</x:v>
      </x:c>
      <x:c r="B5" s="29" t="n">
        <x:f>COUNTA('Raw Data'!A2:A124)</x:f>
        <x:v>123</x:v>
      </x:c>
      <x:c r="C5" s="29" t="str">
        <x:v>Quelle</x:v>
      </x:c>
      <x:c r="D5" s="29" t="str">
        <x:f>IF(B5=123,"OK","Prüfen")</x:f>
        <x:v>OK</x:v>
      </x:c>
    </x:row>
    <x:row r="6">
      <x:c r="A6" s="29" t="str">
        <x:v>Netting-Gruppen</x:v>
      </x:c>
      <x:c r="B6" s="29" t="n">
        <x:f>COUNTA(A12:A37)</x:f>
        <x:v>26</x:v>
      </x:c>
      <x:c r="C6" s="29" t="str">
        <x:v>Gruppierung: Entity / CP / Datum / Währung</x:v>
      </x:c>
      <x:c r="D6" s="29" t="str">
        <x:f>IF(B6=26,"OK","Prüfen")</x:f>
        <x:v>OK</x:v>
      </x:c>
    </x:row>
    <x:row r="7">
      <x:c r="A7" s="29" t="str">
        <x:v>Valutadatum</x:v>
      </x:c>
      <x:c r="B7" s="30" t="n">
        <x:f>MIN('Raw Data'!E2:E124)</x:f>
        <x:v>46258</x:v>
      </x:c>
      <x:c r="C7" s="29" t="str">
        <x:v>Einheitlicher Stichtag erwartet</x:v>
      </x:c>
      <x:c r="D7" s="29" t="str">
        <x:f>IF(COUNTIF('Raw Data'!E2:E124,B7)=B5,"OK","Mehrere Daten")</x:f>
        <x:v>OK</x:v>
      </x:c>
    </x:row>
    <x:row r="8">
      <x:c r="A8" s="29" t="str">
        <x:v>Summe EUR-Gegenwerte</x:v>
      </x:c>
      <x:c r="B8" s="31" t="n">
        <x:f>SUM(G12:G37)</x:f>
        <x:v>-74003796.26</x:v>
      </x:c>
      <x:c r="C8" s="29" t="str">
        <x:v>Informativ; kein Ausgleichstest</x:v>
      </x:c>
      <x:c r="D8" s="29" t="str">
        <x:v>Info</x:v>
      </x:c>
    </x:row>
    <x:row r="10">
      <x:c r="A10" s="32" t="str">
        <x:v>Entity</x:v>
      </x:c>
      <x:c r="B10" s="32" t="str">
        <x:v>Counterparty</x:v>
      </x:c>
      <x:c r="C10" s="32" t="str">
        <x:v>Value Date</x:v>
      </x:c>
      <x:c r="D10" s="32" t="str">
        <x:v>Currency</x:v>
      </x:c>
      <x:c r="E10" s="32" t="str">
        <x:v>Deals</x:v>
      </x:c>
      <x:c r="F10" s="32" t="str">
        <x:v>Net Amount</x:v>
      </x:c>
      <x:c r="G10" s="32" t="str">
        <x:v>Net EUR Equivalent</x:v>
      </x:c>
      <x:c r="H10" s="32" t="str">
        <x:v>Netting Status</x:v>
      </x:c>
    </x:row>
    <x:row r="12">
      <x:c r="A12" s="14" t="str">
        <x:v>L_4016_DE</x:v>
      </x:c>
      <x:c r="B12" s="14" t="str">
        <x:v>L_0100_LU</x:v>
      </x:c>
      <x:c r="C12" s="5" t="n">
        <x:v>46258</x:v>
      </x:c>
      <x:c r="D12" s="14" t="str">
        <x:v>SGD</x:v>
      </x:c>
      <x:c r="E12" s="33" t="n">
        <x:f>COUNTIFS('Raw Data'!$B$2:$B$124,A12,'Raw Data'!$C$2:$C$124,B12,'Raw Data'!$E$2:$E$124,C12,'Raw Data'!$H$2:$H$124,D12)</x:f>
        <x:v>1</x:v>
      </x:c>
      <x:c r="F12" s="6" t="n">
        <x:f>SUMIFS('Raw Data'!$Q$2:$Q$124,'Raw Data'!$B$2:$B$124,A12,'Raw Data'!$C$2:$C$124,B12,'Raw Data'!$E$2:$E$124,C12,'Raw Data'!$H$2:$H$124,D12)</x:f>
        <x:v>300000</x:v>
      </x:c>
      <x:c r="G12" s="6" t="n">
        <x:f>SUMIFS('Raw Data'!$R$2:$R$124,'Raw Data'!$B$2:$B$124,A12,'Raw Data'!$C$2:$C$124,B12,'Raw Data'!$E$2:$E$124,C12,'Raw Data'!$H$2:$H$124,D12)</x:f>
        <x:v>-203307.13</x:v>
      </x:c>
      <x:c r="H12" s="14" t="str">
        <x:f>IF(ABS(F12)&lt;0.01,"Fully Netted","Settlement Required")</x:f>
        <x:v>Settlement Required</x:v>
      </x:c>
    </x:row>
    <x:row r="13">
      <x:c r="A13" s="14" t="str">
        <x:v>L_6129_DE</x:v>
      </x:c>
      <x:c r="B13" s="14" t="str">
        <x:v>L_0100_LU</x:v>
      </x:c>
      <x:c r="C13" s="5" t="n">
        <x:v>46258</x:v>
      </x:c>
      <x:c r="D13" s="14" t="str">
        <x:v>AUD</x:v>
      </x:c>
      <x:c r="E13" s="33" t="n">
        <x:f>COUNTIFS('Raw Data'!$B$2:$B$124,A13,'Raw Data'!$C$2:$C$124,B13,'Raw Data'!$E$2:$E$124,C13,'Raw Data'!$H$2:$H$124,D13)</x:f>
        <x:v>1</x:v>
      </x:c>
      <x:c r="F13" s="6" t="n">
        <x:f>SUMIFS('Raw Data'!$Q$2:$Q$124,'Raw Data'!$B$2:$B$124,A13,'Raw Data'!$C$2:$C$124,B13,'Raw Data'!$E$2:$E$124,C13,'Raw Data'!$H$2:$H$124,D13)</x:f>
        <x:v>350000</x:v>
      </x:c>
      <x:c r="G13" s="6" t="n">
        <x:f>SUMIFS('Raw Data'!$R$2:$R$124,'Raw Data'!$B$2:$B$124,A13,'Raw Data'!$C$2:$C$124,B13,'Raw Data'!$E$2:$E$124,C13,'Raw Data'!$H$2:$H$124,D13)</x:f>
        <x:v>-212519.85</x:v>
      </x:c>
      <x:c r="H13" s="14" t="str">
        <x:f>IF(ABS(F13)&lt;0.01,"Fully Netted","Settlement Required")</x:f>
        <x:v>Settlement Required</x:v>
      </x:c>
    </x:row>
    <x:row r="14">
      <x:c r="A14" s="14" t="str">
        <x:v>L_6129_DE</x:v>
      </x:c>
      <x:c r="B14" s="14" t="str">
        <x:v>L_0100_LU</x:v>
      </x:c>
      <x:c r="C14" s="5" t="n">
        <x:v>46258</x:v>
      </x:c>
      <x:c r="D14" s="14" t="str">
        <x:v>CNY</x:v>
      </x:c>
      <x:c r="E14" s="33" t="n">
        <x:f>COUNTIFS('Raw Data'!$B$2:$B$124,A14,'Raw Data'!$C$2:$C$124,B14,'Raw Data'!$E$2:$E$124,C14,'Raw Data'!$H$2:$H$124,D14)</x:f>
        <x:v>22</x:v>
      </x:c>
      <x:c r="F14" s="6" t="n">
        <x:f>SUMIFS('Raw Data'!$Q$2:$Q$124,'Raw Data'!$B$2:$B$124,A14,'Raw Data'!$C$2:$C$124,B14,'Raw Data'!$E$2:$E$124,C14,'Raw Data'!$H$2:$H$124,D14)</x:f>
        <x:v>38600000</x:v>
      </x:c>
      <x:c r="G14" s="6" t="n">
        <x:f>SUMIFS('Raw Data'!$R$2:$R$124,'Raw Data'!$B$2:$B$124,A14,'Raw Data'!$C$2:$C$124,B14,'Raw Data'!$E$2:$E$124,C14,'Raw Data'!$H$2:$H$124,D14)</x:f>
        <x:v>-5001257.340000002</x:v>
      </x:c>
      <x:c r="H14" s="14" t="str">
        <x:f>IF(ABS(F14)&lt;0.01,"Fully Netted","Settlement Required")</x:f>
        <x:v>Settlement Required</x:v>
      </x:c>
    </x:row>
    <x:row r="15">
      <x:c r="A15" s="14" t="str">
        <x:v>L_6129_DE</x:v>
      </x:c>
      <x:c r="B15" s="14" t="str">
        <x:v>L_0100_LU</x:v>
      </x:c>
      <x:c r="C15" s="5" t="n">
        <x:v>46258</x:v>
      </x:c>
      <x:c r="D15" s="14" t="str">
        <x:v>CZK</x:v>
      </x:c>
      <x:c r="E15" s="33" t="n">
        <x:f>COUNTIFS('Raw Data'!$B$2:$B$124,A15,'Raw Data'!$C$2:$C$124,B15,'Raw Data'!$E$2:$E$124,C15,'Raw Data'!$H$2:$H$124,D15)</x:f>
        <x:v>1</x:v>
      </x:c>
      <x:c r="F15" s="6" t="n">
        <x:f>SUMIFS('Raw Data'!$Q$2:$Q$124,'Raw Data'!$B$2:$B$124,A15,'Raw Data'!$C$2:$C$124,B15,'Raw Data'!$E$2:$E$124,C15,'Raw Data'!$H$2:$H$124,D15)</x:f>
        <x:v>-2000000</x:v>
      </x:c>
      <x:c r="G15" s="6" t="n">
        <x:f>SUMIFS('Raw Data'!$R$2:$R$124,'Raw Data'!$B$2:$B$124,A15,'Raw Data'!$C$2:$C$124,B15,'Raw Data'!$E$2:$E$124,C15,'Raw Data'!$H$2:$H$124,D15)</x:f>
        <x:v>82487.83</x:v>
      </x:c>
      <x:c r="H15" s="14" t="str">
        <x:f>IF(ABS(F15)&lt;0.01,"Fully Netted","Settlement Required")</x:f>
        <x:v>Settlement Required</x:v>
      </x:c>
    </x:row>
    <x:row r="16">
      <x:c r="A16" s="14" t="str">
        <x:v>L_6129_DE</x:v>
      </x:c>
      <x:c r="B16" s="14" t="str">
        <x:v>L_0100_LU</x:v>
      </x:c>
      <x:c r="C16" s="5" t="n">
        <x:v>46258</x:v>
      </x:c>
      <x:c r="D16" s="14" t="str">
        <x:v>GBP</x:v>
      </x:c>
      <x:c r="E16" s="33" t="n">
        <x:f>COUNTIFS('Raw Data'!$B$2:$B$124,A16,'Raw Data'!$C$2:$C$124,B16,'Raw Data'!$E$2:$E$124,C16,'Raw Data'!$H$2:$H$124,D16)</x:f>
        <x:v>10</x:v>
      </x:c>
      <x:c r="F16" s="6" t="n">
        <x:f>SUMIFS('Raw Data'!$Q$2:$Q$124,'Raw Data'!$B$2:$B$124,A16,'Raw Data'!$C$2:$C$124,B16,'Raw Data'!$E$2:$E$124,C16,'Raw Data'!$H$2:$H$124,D16)</x:f>
        <x:v>-1260000</x:v>
      </x:c>
      <x:c r="G16" s="6" t="n">
        <x:f>SUMIFS('Raw Data'!$R$2:$R$124,'Raw Data'!$B$2:$B$124,A16,'Raw Data'!$C$2:$C$124,B16,'Raw Data'!$E$2:$E$124,C16,'Raw Data'!$H$2:$H$124,D16)</x:f>
        <x:v>1472094.32</x:v>
      </x:c>
      <x:c r="H16" s="14" t="str">
        <x:f>IF(ABS(F16)&lt;0.01,"Fully Netted","Settlement Required")</x:f>
        <x:v>Settlement Required</x:v>
      </x:c>
    </x:row>
    <x:row r="17">
      <x:c r="A17" s="14" t="str">
        <x:v>L_6129_DE</x:v>
      </x:c>
      <x:c r="B17" s="14" t="str">
        <x:v>L_0100_LU</x:v>
      </x:c>
      <x:c r="C17" s="5" t="n">
        <x:v>46258</x:v>
      </x:c>
      <x:c r="D17" s="14" t="str">
        <x:v>HKD</x:v>
      </x:c>
      <x:c r="E17" s="33" t="n">
        <x:f>COUNTIFS('Raw Data'!$B$2:$B$124,A17,'Raw Data'!$C$2:$C$124,B17,'Raw Data'!$E$2:$E$124,C17,'Raw Data'!$H$2:$H$124,D17)</x:f>
        <x:v>14</x:v>
      </x:c>
      <x:c r="F17" s="6" t="n">
        <x:f>SUMIFS('Raw Data'!$Q$2:$Q$124,'Raw Data'!$B$2:$B$124,A17,'Raw Data'!$C$2:$C$124,B17,'Raw Data'!$E$2:$E$124,C17,'Raw Data'!$H$2:$H$124,D17)</x:f>
        <x:v>19100000</x:v>
      </x:c>
      <x:c r="G17" s="6" t="n">
        <x:f>SUMIFS('Raw Data'!$R$2:$R$124,'Raw Data'!$B$2:$B$124,A17,'Raw Data'!$C$2:$C$124,B17,'Raw Data'!$E$2:$E$124,C17,'Raw Data'!$H$2:$H$124,D17)</x:f>
        <x:v>-2133106.81</x:v>
      </x:c>
      <x:c r="H17" s="14" t="str">
        <x:f>IF(ABS(F17)&lt;0.01,"Fully Netted","Settlement Required")</x:f>
        <x:v>Settlement Required</x:v>
      </x:c>
    </x:row>
    <x:row r="18">
      <x:c r="A18" s="14" t="str">
        <x:v>L_6129_DE</x:v>
      </x:c>
      <x:c r="B18" s="14" t="str">
        <x:v>L_0100_LU</x:v>
      </x:c>
      <x:c r="C18" s="5" t="n">
        <x:v>46258</x:v>
      </x:c>
      <x:c r="D18" s="14" t="str">
        <x:v>INR</x:v>
      </x:c>
      <x:c r="E18" s="33" t="n">
        <x:f>COUNTIFS('Raw Data'!$B$2:$B$124,A18,'Raw Data'!$C$2:$C$124,B18,'Raw Data'!$E$2:$E$124,C18,'Raw Data'!$H$2:$H$124,D18)</x:f>
        <x:v>6</x:v>
      </x:c>
      <x:c r="F18" s="6" t="n">
        <x:f>SUMIFS('Raw Data'!$Q$2:$Q$124,'Raw Data'!$B$2:$B$124,A18,'Raw Data'!$C$2:$C$124,B18,'Raw Data'!$E$2:$E$124,C18,'Raw Data'!$H$2:$H$124,D18)</x:f>
        <x:v>67600000</x:v>
      </x:c>
      <x:c r="G18" s="6" t="n">
        <x:f>SUMIFS('Raw Data'!$R$2:$R$124,'Raw Data'!$B$2:$B$124,A18,'Raw Data'!$C$2:$C$124,B18,'Raw Data'!$E$2:$E$124,C18,'Raw Data'!$H$2:$H$124,D18)</x:f>
        <x:v>-620346.3</x:v>
      </x:c>
      <x:c r="H18" s="14" t="str">
        <x:f>IF(ABS(F18)&lt;0.01,"Fully Netted","Settlement Required")</x:f>
        <x:v>Settlement Required</x:v>
      </x:c>
    </x:row>
    <x:row r="19">
      <x:c r="A19" s="14" t="str">
        <x:v>L_6129_DE</x:v>
      </x:c>
      <x:c r="B19" s="14" t="str">
        <x:v>L_0100_LU</x:v>
      </x:c>
      <x:c r="C19" s="5" t="n">
        <x:v>46258</x:v>
      </x:c>
      <x:c r="D19" s="14" t="str">
        <x:v>KRW</x:v>
      </x:c>
      <x:c r="E19" s="33" t="n">
        <x:f>COUNTIFS('Raw Data'!$B$2:$B$124,A19,'Raw Data'!$C$2:$C$124,B19,'Raw Data'!$E$2:$E$124,C19,'Raw Data'!$H$2:$H$124,D19)</x:f>
        <x:v>1</x:v>
      </x:c>
      <x:c r="F19" s="6" t="n">
        <x:f>SUMIFS('Raw Data'!$Q$2:$Q$124,'Raw Data'!$B$2:$B$124,A19,'Raw Data'!$C$2:$C$124,B19,'Raw Data'!$E$2:$E$124,C19,'Raw Data'!$H$2:$H$124,D19)</x:f>
        <x:v>670000000</x:v>
      </x:c>
      <x:c r="G19" s="6" t="n">
        <x:f>SUMIFS('Raw Data'!$R$2:$R$124,'Raw Data'!$B$2:$B$124,A19,'Raw Data'!$C$2:$C$124,B19,'Raw Data'!$E$2:$E$124,C19,'Raw Data'!$H$2:$H$124,D19)</x:f>
        <x:v>-409535.45</x:v>
      </x:c>
      <x:c r="H19" s="14" t="str">
        <x:f>IF(ABS(F19)&lt;0.01,"Fully Netted","Settlement Required")</x:f>
        <x:v>Settlement Required</x:v>
      </x:c>
    </x:row>
    <x:row r="20">
      <x:c r="A20" s="14" t="str">
        <x:v>L_6129_DE</x:v>
      </x:c>
      <x:c r="B20" s="14" t="str">
        <x:v>L_0100_LU</x:v>
      </x:c>
      <x:c r="C20" s="5" t="n">
        <x:v>46258</x:v>
      </x:c>
      <x:c r="D20" s="14" t="str">
        <x:v>PLN</x:v>
      </x:c>
      <x:c r="E20" s="33" t="n">
        <x:f>COUNTIFS('Raw Data'!$B$2:$B$124,A20,'Raw Data'!$C$2:$C$124,B20,'Raw Data'!$E$2:$E$124,C20,'Raw Data'!$H$2:$H$124,D20)</x:f>
        <x:v>1</x:v>
      </x:c>
      <x:c r="F20" s="6" t="n">
        <x:f>SUMIFS('Raw Data'!$Q$2:$Q$124,'Raw Data'!$B$2:$B$124,A20,'Raw Data'!$C$2:$C$124,B20,'Raw Data'!$E$2:$E$124,C20,'Raw Data'!$H$2:$H$124,D20)</x:f>
        <x:v>300000</x:v>
      </x:c>
      <x:c r="G20" s="6" t="n">
        <x:f>SUMIFS('Raw Data'!$R$2:$R$124,'Raw Data'!$B$2:$B$124,A20,'Raw Data'!$C$2:$C$124,B20,'Raw Data'!$E$2:$E$124,C20,'Raw Data'!$H$2:$H$124,D20)</x:f>
        <x:v>-69670.23</x:v>
      </x:c>
      <x:c r="H20" s="14" t="str">
        <x:f>IF(ABS(F20)&lt;0.01,"Fully Netted","Settlement Required")</x:f>
        <x:v>Settlement Required</x:v>
      </x:c>
    </x:row>
    <x:row r="21">
      <x:c r="A21" s="14" t="str">
        <x:v>L_6129_DE</x:v>
      </x:c>
      <x:c r="B21" s="14" t="str">
        <x:v>L_0100_LU</x:v>
      </x:c>
      <x:c r="C21" s="5" t="n">
        <x:v>46258</x:v>
      </x:c>
      <x:c r="D21" s="14" t="str">
        <x:v>SAR</x:v>
      </x:c>
      <x:c r="E21" s="33" t="n">
        <x:f>COUNTIFS('Raw Data'!$B$2:$B$124,A21,'Raw Data'!$C$2:$C$124,B21,'Raw Data'!$E$2:$E$124,C21,'Raw Data'!$H$2:$H$124,D21)</x:f>
        <x:v>1</x:v>
      </x:c>
      <x:c r="F21" s="6" t="n">
        <x:f>SUMIFS('Raw Data'!$Q$2:$Q$124,'Raw Data'!$B$2:$B$124,A21,'Raw Data'!$C$2:$C$124,B21,'Raw Data'!$E$2:$E$124,C21,'Raw Data'!$H$2:$H$124,D21)</x:f>
        <x:v>950000</x:v>
      </x:c>
      <x:c r="G21" s="6" t="n">
        <x:f>SUMIFS('Raw Data'!$R$2:$R$124,'Raw Data'!$B$2:$B$124,A21,'Raw Data'!$C$2:$C$124,B21,'Raw Data'!$E$2:$E$124,C21,'Raw Data'!$H$2:$H$124,D21)</x:f>
        <x:v>-220514.84</x:v>
      </x:c>
      <x:c r="H21" s="14" t="str">
        <x:f>IF(ABS(F21)&lt;0.01,"Fully Netted","Settlement Required")</x:f>
        <x:v>Settlement Required</x:v>
      </x:c>
    </x:row>
    <x:row r="22">
      <x:c r="A22" s="14" t="str">
        <x:v>L_6129_DE</x:v>
      </x:c>
      <x:c r="B22" s="14" t="str">
        <x:v>L_0100_LU</x:v>
      </x:c>
      <x:c r="C22" s="5" t="n">
        <x:v>46258</x:v>
      </x:c>
      <x:c r="D22" s="14" t="str">
        <x:v>SGD</x:v>
      </x:c>
      <x:c r="E22" s="33" t="n">
        <x:f>COUNTIFS('Raw Data'!$B$2:$B$124,A22,'Raw Data'!$C$2:$C$124,B22,'Raw Data'!$E$2:$E$124,C22,'Raw Data'!$H$2:$H$124,D22)</x:f>
        <x:v>3</x:v>
      </x:c>
      <x:c r="F22" s="6" t="n">
        <x:f>SUMIFS('Raw Data'!$Q$2:$Q$124,'Raw Data'!$B$2:$B$124,A22,'Raw Data'!$C$2:$C$124,B22,'Raw Data'!$E$2:$E$124,C22,'Raw Data'!$H$2:$H$124,D22)</x:f>
        <x:v>-370000</x:v>
      </x:c>
      <x:c r="G22" s="6" t="n">
        <x:f>SUMIFS('Raw Data'!$R$2:$R$124,'Raw Data'!$B$2:$B$124,A22,'Raw Data'!$C$2:$C$124,B22,'Raw Data'!$E$2:$E$124,C22,'Raw Data'!$H$2:$H$124,D22)</x:f>
        <x:v>250469.78</x:v>
      </x:c>
      <x:c r="H22" s="14" t="str">
        <x:f>IF(ABS(F22)&lt;0.01,"Fully Netted","Settlement Required")</x:f>
        <x:v>Settlement Required</x:v>
      </x:c>
    </x:row>
    <x:row r="23">
      <x:c r="A23" s="14" t="str">
        <x:v>L_6129_DE</x:v>
      </x:c>
      <x:c r="B23" s="14" t="str">
        <x:v>L_0100_LU</x:v>
      </x:c>
      <x:c r="C23" s="5" t="n">
        <x:v>46258</x:v>
      </x:c>
      <x:c r="D23" s="14" t="str">
        <x:v>THB</x:v>
      </x:c>
      <x:c r="E23" s="33" t="n">
        <x:f>COUNTIFS('Raw Data'!$B$2:$B$124,A23,'Raw Data'!$C$2:$C$124,B23,'Raw Data'!$E$2:$E$124,C23,'Raw Data'!$H$2:$H$124,D23)</x:f>
        <x:v>4</x:v>
      </x:c>
      <x:c r="F23" s="6" t="n">
        <x:f>SUMIFS('Raw Data'!$Q$2:$Q$124,'Raw Data'!$B$2:$B$124,A23,'Raw Data'!$C$2:$C$124,B23,'Raw Data'!$E$2:$E$124,C23,'Raw Data'!$H$2:$H$124,D23)</x:f>
        <x:v>12500000</x:v>
      </x:c>
      <x:c r="G23" s="6" t="n">
        <x:f>SUMIFS('Raw Data'!$R$2:$R$124,'Raw Data'!$B$2:$B$124,A23,'Raw Data'!$C$2:$C$124,B23,'Raw Data'!$E$2:$E$124,C23,'Raw Data'!$H$2:$H$124,D23)</x:f>
        <x:v>-328620.18</x:v>
      </x:c>
      <x:c r="H23" s="14" t="str">
        <x:f>IF(ABS(F23)&lt;0.01,"Fully Netted","Settlement Required")</x:f>
        <x:v>Settlement Required</x:v>
      </x:c>
    </x:row>
    <x:row r="24">
      <x:c r="A24" s="14" t="str">
        <x:v>L_6129_DE</x:v>
      </x:c>
      <x:c r="B24" s="14" t="str">
        <x:v>L_0100_LU</x:v>
      </x:c>
      <x:c r="C24" s="5" t="n">
        <x:v>46258</x:v>
      </x:c>
      <x:c r="D24" s="14" t="str">
        <x:v>TWD</x:v>
      </x:c>
      <x:c r="E24" s="33" t="n">
        <x:f>COUNTIFS('Raw Data'!$B$2:$B$124,A24,'Raw Data'!$C$2:$C$124,B24,'Raw Data'!$E$2:$E$124,C24,'Raw Data'!$H$2:$H$124,D24)</x:f>
        <x:v>2</x:v>
      </x:c>
      <x:c r="F24" s="6" t="n">
        <x:f>SUMIFS('Raw Data'!$Q$2:$Q$124,'Raw Data'!$B$2:$B$124,A24,'Raw Data'!$C$2:$C$124,B24,'Raw Data'!$E$2:$E$124,C24,'Raw Data'!$H$2:$H$124,D24)</x:f>
        <x:v>16000000</x:v>
      </x:c>
      <x:c r="G24" s="6" t="n">
        <x:f>SUMIFS('Raw Data'!$R$2:$R$124,'Raw Data'!$B$2:$B$124,A24,'Raw Data'!$C$2:$C$124,B24,'Raw Data'!$E$2:$E$124,C24,'Raw Data'!$H$2:$H$124,D24)</x:f>
        <x:v>-436523.24</x:v>
      </x:c>
      <x:c r="H24" s="14" t="str">
        <x:f>IF(ABS(F24)&lt;0.01,"Fully Netted","Settlement Required")</x:f>
        <x:v>Settlement Required</x:v>
      </x:c>
    </x:row>
    <x:row r="25">
      <x:c r="A25" s="14" t="str">
        <x:v>L_6129_DE</x:v>
      </x:c>
      <x:c r="B25" s="14" t="str">
        <x:v>L_0100_LU</x:v>
      </x:c>
      <x:c r="C25" s="5" t="n">
        <x:v>46258</x:v>
      </x:c>
      <x:c r="D25" s="14" t="str">
        <x:v>USD</x:v>
      </x:c>
      <x:c r="E25" s="33" t="n">
        <x:f>COUNTIFS('Raw Data'!$B$2:$B$124,A25,'Raw Data'!$C$2:$C$124,B25,'Raw Data'!$E$2:$E$124,C25,'Raw Data'!$H$2:$H$124,D25)</x:f>
        <x:v>12</x:v>
      </x:c>
      <x:c r="F25" s="6" t="n">
        <x:f>SUMIFS('Raw Data'!$Q$2:$Q$124,'Raw Data'!$B$2:$B$124,A25,'Raw Data'!$C$2:$C$124,B25,'Raw Data'!$E$2:$E$124,C25,'Raw Data'!$H$2:$H$124,D25)</x:f>
        <x:v>2770000</x:v>
      </x:c>
      <x:c r="G25" s="6" t="n">
        <x:f>SUMIFS('Raw Data'!$R$2:$R$124,'Raw Data'!$B$2:$B$124,A25,'Raw Data'!$C$2:$C$124,B25,'Raw Data'!$E$2:$E$124,C25,'Raw Data'!$H$2:$H$124,D25)</x:f>
        <x:v>-2414116.75</x:v>
      </x:c>
      <x:c r="H25" s="14" t="str">
        <x:f>IF(ABS(F25)&lt;0.01,"Fully Netted","Settlement Required")</x:f>
        <x:v>Settlement Required</x:v>
      </x:c>
    </x:row>
    <x:row r="26">
      <x:c r="A26" s="14" t="str">
        <x:v>L_6207_CZ</x:v>
      </x:c>
      <x:c r="B26" s="14" t="str">
        <x:v>L_0100_LU</x:v>
      </x:c>
      <x:c r="C26" s="5" t="n">
        <x:v>46258</x:v>
      </x:c>
      <x:c r="D26" s="14" t="str">
        <x:v>CNY</x:v>
      </x:c>
      <x:c r="E26" s="33" t="n">
        <x:f>COUNTIFS('Raw Data'!$B$2:$B$124,A26,'Raw Data'!$C$2:$C$124,B26,'Raw Data'!$E$2:$E$124,C26,'Raw Data'!$H$2:$H$124,D26)</x:f>
        <x:v>1</x:v>
      </x:c>
      <x:c r="F26" s="6" t="n">
        <x:f>SUMIFS('Raw Data'!$Q$2:$Q$124,'Raw Data'!$B$2:$B$124,A26,'Raw Data'!$C$2:$C$124,B26,'Raw Data'!$E$2:$E$124,C26,'Raw Data'!$H$2:$H$124,D26)</x:f>
        <x:v>2800000</x:v>
      </x:c>
      <x:c r="G26" s="6" t="n">
        <x:f>SUMIFS('Raw Data'!$R$2:$R$124,'Raw Data'!$B$2:$B$124,A26,'Raw Data'!$C$2:$C$124,B26,'Raw Data'!$E$2:$E$124,C26,'Raw Data'!$H$2:$H$124,D26)</x:f>
        <x:v>-8809892</x:v>
      </x:c>
      <x:c r="H26" s="14" t="str">
        <x:f>IF(ABS(F26)&lt;0.01,"Fully Netted","Settlement Required")</x:f>
        <x:v>Settlement Required</x:v>
      </x:c>
    </x:row>
    <x:row r="27">
      <x:c r="A27" s="14" t="str">
        <x:v>L_6209_HU</x:v>
      </x:c>
      <x:c r="B27" s="14" t="str">
        <x:v>L_0100_LU</x:v>
      </x:c>
      <x:c r="C27" s="5" t="n">
        <x:v>46258</x:v>
      </x:c>
      <x:c r="D27" s="14" t="str">
        <x:v>EUR</x:v>
      </x:c>
      <x:c r="E27" s="33" t="n">
        <x:f>COUNTIFS('Raw Data'!$B$2:$B$124,A27,'Raw Data'!$C$2:$C$124,B27,'Raw Data'!$E$2:$E$124,C27,'Raw Data'!$H$2:$H$124,D27)</x:f>
        <x:v>1</x:v>
      </x:c>
      <x:c r="F27" s="6" t="n">
        <x:f>SUMIFS('Raw Data'!$Q$2:$Q$124,'Raw Data'!$B$2:$B$124,A27,'Raw Data'!$C$2:$C$124,B27,'Raw Data'!$E$2:$E$124,C27,'Raw Data'!$H$2:$H$124,D27)</x:f>
        <x:v>150000</x:v>
      </x:c>
      <x:c r="G27" s="6" t="n">
        <x:f>SUMIFS('Raw Data'!$R$2:$R$124,'Raw Data'!$B$2:$B$124,A27,'Raw Data'!$C$2:$C$124,B27,'Raw Data'!$E$2:$E$124,C27,'Raw Data'!$H$2:$H$124,D27)</x:f>
        <x:v>-54819000</x:v>
      </x:c>
      <x:c r="H27" s="14" t="str">
        <x:f>IF(ABS(F27)&lt;0.01,"Fully Netted","Settlement Required")</x:f>
        <x:v>Settlement Required</x:v>
      </x:c>
    </x:row>
    <x:row r="28">
      <x:c r="A28" s="14" t="str">
        <x:v>L_6211_NL</x:v>
      </x:c>
      <x:c r="B28" s="14" t="str">
        <x:v>L_0100_LU</x:v>
      </x:c>
      <x:c r="C28" s="5" t="n">
        <x:v>46258</x:v>
      </x:c>
      <x:c r="D28" s="14" t="str">
        <x:v>USD</x:v>
      </x:c>
      <x:c r="E28" s="33" t="n">
        <x:f>COUNTIFS('Raw Data'!$B$2:$B$124,A28,'Raw Data'!$C$2:$C$124,B28,'Raw Data'!$E$2:$E$124,C28,'Raw Data'!$H$2:$H$124,D28)</x:f>
        <x:v>1</x:v>
      </x:c>
      <x:c r="F28" s="6" t="n">
        <x:f>SUMIFS('Raw Data'!$Q$2:$Q$124,'Raw Data'!$B$2:$B$124,A28,'Raw Data'!$C$2:$C$124,B28,'Raw Data'!$E$2:$E$124,C28,'Raw Data'!$H$2:$H$124,D28)</x:f>
        <x:v>140000</x:v>
      </x:c>
      <x:c r="G28" s="6" t="n">
        <x:f>SUMIFS('Raw Data'!$R$2:$R$124,'Raw Data'!$B$2:$B$124,A28,'Raw Data'!$C$2:$C$124,B28,'Raw Data'!$E$2:$E$124,C28,'Raw Data'!$H$2:$H$124,D28)</x:f>
        <x:v>-121185.68</x:v>
      </x:c>
      <x:c r="H28" s="14" t="str">
        <x:f>IF(ABS(F28)&lt;0.01,"Fully Netted","Settlement Required")</x:f>
        <x:v>Settlement Required</x:v>
      </x:c>
    </x:row>
    <x:row r="29">
      <x:c r="A29" s="14" t="str">
        <x:v>L_6218_IT</x:v>
      </x:c>
      <x:c r="B29" s="14" t="str">
        <x:v>L_0100_LU</x:v>
      </x:c>
      <x:c r="C29" s="5" t="n">
        <x:v>46258</x:v>
      </x:c>
      <x:c r="D29" s="14" t="str">
        <x:v>USD</x:v>
      </x:c>
      <x:c r="E29" s="33" t="n">
        <x:f>COUNTIFS('Raw Data'!$B$2:$B$124,A29,'Raw Data'!$C$2:$C$124,B29,'Raw Data'!$E$2:$E$124,C29,'Raw Data'!$H$2:$H$124,D29)</x:f>
        <x:v>2</x:v>
      </x:c>
      <x:c r="F29" s="6" t="n">
        <x:f>SUMIFS('Raw Data'!$Q$2:$Q$124,'Raw Data'!$B$2:$B$124,A29,'Raw Data'!$C$2:$C$124,B29,'Raw Data'!$E$2:$E$124,C29,'Raw Data'!$H$2:$H$124,D29)</x:f>
        <x:v>0</x:v>
      </x:c>
      <x:c r="G29" s="6" t="n">
        <x:f>SUMIFS('Raw Data'!$R$2:$R$124,'Raw Data'!$B$2:$B$124,A29,'Raw Data'!$C$2:$C$124,B29,'Raw Data'!$E$2:$E$124,C29,'Raw Data'!$H$2:$H$124,D29)</x:f>
        <x:v>432.2100000000064</x:v>
      </x:c>
      <x:c r="H29" s="14" t="str">
        <x:f>IF(ABS(F29)&lt;0.01,"Fully Netted","Settlement Required")</x:f>
        <x:v>Fully Netted</x:v>
      </x:c>
    </x:row>
    <x:row r="30">
      <x:c r="A30" s="14" t="str">
        <x:v>L_6221_AT</x:v>
      </x:c>
      <x:c r="B30" s="14" t="str">
        <x:v>L_0100_LU</x:v>
      </x:c>
      <x:c r="C30" s="5" t="n">
        <x:v>46258</x:v>
      </x:c>
      <x:c r="D30" s="14" t="str">
        <x:v>CNY</x:v>
      </x:c>
      <x:c r="E30" s="33" t="n">
        <x:f>COUNTIFS('Raw Data'!$B$2:$B$124,A30,'Raw Data'!$C$2:$C$124,B30,'Raw Data'!$E$2:$E$124,C30,'Raw Data'!$H$2:$H$124,D30)</x:f>
        <x:v>2</x:v>
      </x:c>
      <x:c r="F30" s="6" t="n">
        <x:f>SUMIFS('Raw Data'!$Q$2:$Q$124,'Raw Data'!$B$2:$B$124,A30,'Raw Data'!$C$2:$C$124,B30,'Raw Data'!$E$2:$E$124,C30,'Raw Data'!$H$2:$H$124,D30)</x:f>
        <x:v>1000000</x:v>
      </x:c>
      <x:c r="G30" s="6" t="n">
        <x:f>SUMIFS('Raw Data'!$R$2:$R$124,'Raw Data'!$B$2:$B$124,A30,'Raw Data'!$C$2:$C$124,B30,'Raw Data'!$E$2:$E$124,C30,'Raw Data'!$H$2:$H$124,D30)</x:f>
        <x:v>-129776.07999999999</x:v>
      </x:c>
      <x:c r="H30" s="14" t="str">
        <x:f>IF(ABS(F30)&lt;0.01,"Fully Netted","Settlement Required")</x:f>
        <x:v>Settlement Required</x:v>
      </x:c>
    </x:row>
    <x:row r="31">
      <x:c r="A31" s="14" t="str">
        <x:v>L_6221_AT</x:v>
      </x:c>
      <x:c r="B31" s="14" t="str">
        <x:v>L_0100_LU</x:v>
      </x:c>
      <x:c r="C31" s="5" t="n">
        <x:v>46258</x:v>
      </x:c>
      <x:c r="D31" s="14" t="str">
        <x:v>INR</x:v>
      </x:c>
      <x:c r="E31" s="33" t="n">
        <x:f>COUNTIFS('Raw Data'!$B$2:$B$124,A31,'Raw Data'!$C$2:$C$124,B31,'Raw Data'!$E$2:$E$124,C31,'Raw Data'!$H$2:$H$124,D31)</x:f>
        <x:v>4</x:v>
      </x:c>
      <x:c r="F31" s="6" t="n">
        <x:f>SUMIFS('Raw Data'!$Q$2:$Q$124,'Raw Data'!$B$2:$B$124,A31,'Raw Data'!$C$2:$C$124,B31,'Raw Data'!$E$2:$E$124,C31,'Raw Data'!$H$2:$H$124,D31)</x:f>
        <x:v>10400000</x:v>
      </x:c>
      <x:c r="G31" s="6" t="n">
        <x:f>SUMIFS('Raw Data'!$R$2:$R$124,'Raw Data'!$B$2:$B$124,A31,'Raw Data'!$C$2:$C$124,B31,'Raw Data'!$E$2:$E$124,C31,'Raw Data'!$H$2:$H$124,D31)</x:f>
        <x:v>-98034.82999999999</x:v>
      </x:c>
      <x:c r="H31" s="14" t="str">
        <x:f>IF(ABS(F31)&lt;0.01,"Fully Netted","Settlement Required")</x:f>
        <x:v>Settlement Required</x:v>
      </x:c>
    </x:row>
    <x:row r="32">
      <x:c r="A32" s="14" t="str">
        <x:v>L_6221_AT</x:v>
      </x:c>
      <x:c r="B32" s="14" t="str">
        <x:v>L_0100_LU</x:v>
      </x:c>
      <x:c r="C32" s="5" t="n">
        <x:v>46258</x:v>
      </x:c>
      <x:c r="D32" s="14" t="str">
        <x:v>USD</x:v>
      </x:c>
      <x:c r="E32" s="33" t="n">
        <x:f>COUNTIFS('Raw Data'!$B$2:$B$124,A32,'Raw Data'!$C$2:$C$124,B32,'Raw Data'!$E$2:$E$124,C32,'Raw Data'!$H$2:$H$124,D32)</x:f>
        <x:v>1</x:v>
      </x:c>
      <x:c r="F32" s="6" t="n">
        <x:f>SUMIFS('Raw Data'!$Q$2:$Q$124,'Raw Data'!$B$2:$B$124,A32,'Raw Data'!$C$2:$C$124,B32,'Raw Data'!$E$2:$E$124,C32,'Raw Data'!$H$2:$H$124,D32)</x:f>
        <x:v>130000</x:v>
      </x:c>
      <x:c r="G32" s="6" t="n">
        <x:f>SUMIFS('Raw Data'!$R$2:$R$124,'Raw Data'!$B$2:$B$124,A32,'Raw Data'!$C$2:$C$124,B32,'Raw Data'!$E$2:$E$124,C32,'Raw Data'!$H$2:$H$124,D32)</x:f>
        <x:v>-114235.5</x:v>
      </x:c>
      <x:c r="H32" s="14" t="str">
        <x:f>IF(ABS(F32)&lt;0.01,"Fully Netted","Settlement Required")</x:f>
        <x:v>Settlement Required</x:v>
      </x:c>
    </x:row>
    <x:row r="33">
      <x:c r="A33" s="14" t="str">
        <x:v>L_6416_CN</x:v>
      </x:c>
      <x:c r="B33" s="14" t="str">
        <x:v>L_0100_LU</x:v>
      </x:c>
      <x:c r="C33" s="5" t="n">
        <x:v>46258</x:v>
      </x:c>
      <x:c r="D33" s="14" t="str">
        <x:v>CNY</x:v>
      </x:c>
      <x:c r="E33" s="33" t="n">
        <x:f>COUNTIFS('Raw Data'!$B$2:$B$124,A33,'Raw Data'!$C$2:$C$124,B33,'Raw Data'!$E$2:$E$124,C33,'Raw Data'!$H$2:$H$124,D33)</x:f>
        <x:v>6</x:v>
      </x:c>
      <x:c r="F33" s="6" t="n">
        <x:f>SUMIFS('Raw Data'!$Q$2:$Q$124,'Raw Data'!$B$2:$B$124,A33,'Raw Data'!$C$2:$C$124,B33,'Raw Data'!$E$2:$E$124,C33,'Raw Data'!$H$2:$H$124,D33)</x:f>
        <x:v>-3400000</x:v>
      </x:c>
      <x:c r="G33" s="6" t="n">
        <x:f>SUMIFS('Raw Data'!$R$2:$R$124,'Raw Data'!$B$2:$B$124,A33,'Raw Data'!$C$2:$C$124,B33,'Raw Data'!$E$2:$E$124,C33,'Raw Data'!$H$2:$H$124,D33)</x:f>
        <x:v>440478.62</x:v>
      </x:c>
      <x:c r="H33" s="14" t="str">
        <x:f>IF(ABS(F33)&lt;0.01,"Fully Netted","Settlement Required")</x:f>
        <x:v>Settlement Required</x:v>
      </x:c>
    </x:row>
    <x:row r="34">
      <x:c r="A34" s="14" t="str">
        <x:v>L_6418_CN</x:v>
      </x:c>
      <x:c r="B34" s="14" t="str">
        <x:v>L_0100_LU</x:v>
      </x:c>
      <x:c r="C34" s="5" t="n">
        <x:v>46258</x:v>
      </x:c>
      <x:c r="D34" s="14" t="str">
        <x:v>CNY</x:v>
      </x:c>
      <x:c r="E34" s="33" t="n">
        <x:f>COUNTIFS('Raw Data'!$B$2:$B$124,A34,'Raw Data'!$C$2:$C$124,B34,'Raw Data'!$E$2:$E$124,C34,'Raw Data'!$H$2:$H$124,D34)</x:f>
        <x:v>13</x:v>
      </x:c>
      <x:c r="F34" s="6" t="n">
        <x:f>SUMIFS('Raw Data'!$Q$2:$Q$124,'Raw Data'!$B$2:$B$124,A34,'Raw Data'!$C$2:$C$124,B34,'Raw Data'!$E$2:$E$124,C34,'Raw Data'!$H$2:$H$124,D34)</x:f>
        <x:v>-14400000</x:v>
      </x:c>
      <x:c r="G34" s="6" t="n">
        <x:f>SUMIFS('Raw Data'!$R$2:$R$124,'Raw Data'!$B$2:$B$124,A34,'Raw Data'!$C$2:$C$124,B34,'Raw Data'!$E$2:$E$124,C34,'Raw Data'!$H$2:$H$124,D34)</x:f>
        <x:v>1863308.11</x:v>
      </x:c>
      <x:c r="H34" s="14" t="str">
        <x:f>IF(ABS(F34)&lt;0.01,"Fully Netted","Settlement Required")</x:f>
        <x:v>Settlement Required</x:v>
      </x:c>
    </x:row>
    <x:row r="35">
      <x:c r="A35" s="14" t="str">
        <x:v>L_6500_AU</x:v>
      </x:c>
      <x:c r="B35" s="14" t="str">
        <x:v>L_0100_LU</x:v>
      </x:c>
      <x:c r="C35" s="5" t="n">
        <x:v>46258</x:v>
      </x:c>
      <x:c r="D35" s="14" t="str">
        <x:v>CNY</x:v>
      </x:c>
      <x:c r="E35" s="33" t="n">
        <x:f>COUNTIFS('Raw Data'!$B$2:$B$124,A35,'Raw Data'!$C$2:$C$124,B35,'Raw Data'!$E$2:$E$124,C35,'Raw Data'!$H$2:$H$124,D35)</x:f>
        <x:v>5</x:v>
      </x:c>
      <x:c r="F35" s="6" t="n">
        <x:f>SUMIFS('Raw Data'!$Q$2:$Q$124,'Raw Data'!$B$2:$B$124,A35,'Raw Data'!$C$2:$C$124,B35,'Raw Data'!$E$2:$E$124,C35,'Raw Data'!$H$2:$H$124,D35)</x:f>
        <x:v>3600000</x:v>
      </x:c>
      <x:c r="G35" s="6" t="n">
        <x:f>SUMIFS('Raw Data'!$R$2:$R$124,'Raw Data'!$B$2:$B$124,A35,'Raw Data'!$C$2:$C$124,B35,'Raw Data'!$E$2:$E$124,C35,'Raw Data'!$H$2:$H$124,D35)</x:f>
        <x:v>-766985.79</x:v>
      </x:c>
      <x:c r="H35" s="14" t="str">
        <x:f>IF(ABS(F35)&lt;0.01,"Fully Netted","Settlement Required")</x:f>
        <x:v>Settlement Required</x:v>
      </x:c>
    </x:row>
    <x:row r="36">
      <x:c r="A36" s="14" t="str">
        <x:v>L_6500_AU</x:v>
      </x:c>
      <x:c r="B36" s="14" t="str">
        <x:v>L_0100_LU</x:v>
      </x:c>
      <x:c r="C36" s="5" t="n">
        <x:v>46258</x:v>
      </x:c>
      <x:c r="D36" s="14" t="str">
        <x:v>EUR</x:v>
      </x:c>
      <x:c r="E36" s="33" t="n">
        <x:f>COUNTIFS('Raw Data'!$B$2:$B$124,A36,'Raw Data'!$C$2:$C$124,B36,'Raw Data'!$E$2:$E$124,C36,'Raw Data'!$H$2:$H$124,D36)</x:f>
        <x:v>6</x:v>
      </x:c>
      <x:c r="F36" s="6" t="n">
        <x:f>SUMIFS('Raw Data'!$Q$2:$Q$124,'Raw Data'!$B$2:$B$124,A36,'Raw Data'!$C$2:$C$124,B36,'Raw Data'!$E$2:$E$124,C36,'Raw Data'!$H$2:$H$124,D36)</x:f>
        <x:v>610000</x:v>
      </x:c>
      <x:c r="G36" s="6" t="n">
        <x:f>SUMIFS('Raw Data'!$R$2:$R$124,'Raw Data'!$B$2:$B$124,A36,'Raw Data'!$C$2:$C$124,B36,'Raw Data'!$E$2:$E$124,C36,'Raw Data'!$H$2:$H$124,D36)</x:f>
        <x:v>-1003577</x:v>
      </x:c>
      <x:c r="H36" s="14" t="str">
        <x:f>IF(ABS(F36)&lt;0.01,"Fully Netted","Settlement Required")</x:f>
        <x:v>Settlement Required</x:v>
      </x:c>
    </x:row>
    <x:row r="37">
      <x:c r="A37" s="14" t="str">
        <x:v>L_6500_AU</x:v>
      </x:c>
      <x:c r="B37" s="14" t="str">
        <x:v>L_0100_LU</x:v>
      </x:c>
      <x:c r="C37" s="5" t="n">
        <x:v>46258</x:v>
      </x:c>
      <x:c r="D37" s="14" t="str">
        <x:v>USD</x:v>
      </x:c>
      <x:c r="E37" s="33" t="n">
        <x:f>COUNTIFS('Raw Data'!$B$2:$B$124,A37,'Raw Data'!$C$2:$C$124,B37,'Raw Data'!$E$2:$E$124,C37,'Raw Data'!$H$2:$H$124,D37)</x:f>
        <x:v>2</x:v>
      </x:c>
      <x:c r="F37" s="6" t="n">
        <x:f>SUMIFS('Raw Data'!$Q$2:$Q$124,'Raw Data'!$B$2:$B$124,A37,'Raw Data'!$C$2:$C$124,B37,'Raw Data'!$E$2:$E$124,C37,'Raw Data'!$H$2:$H$124,D37)</x:f>
        <x:v>140000</x:v>
      </x:c>
      <x:c r="G37" s="6" t="n">
        <x:f>SUMIFS('Raw Data'!$R$2:$R$124,'Raw Data'!$B$2:$B$124,A37,'Raw Data'!$C$2:$C$124,B37,'Raw Data'!$E$2:$E$124,C37,'Raw Data'!$H$2:$H$124,D37)</x:f>
        <x:v>-200862.13</x:v>
      </x:c>
      <x:c r="H37" s="14" t="str">
        <x:f>IF(ABS(F37)&lt;0.01,"Fully Netted","Settlement Required")</x:f>
        <x:v>Settlement Required</x:v>
      </x:c>
    </x:row>
  </x:sheetData>
  <x:mergeCells>
    <x:mergeCell ref="A1:H1"/>
    <x:mergeCell ref="A2:H2"/>
  </x:mergeCells>
  <x:conditionalFormatting sqref="D5:D8">
    <x:cfRule type="containsText" dxfId="0" priority="1" operator="containsText" text="OK"/>
    <x:cfRule type="containsText" dxfId="1" priority="2" operator="containsText" text="Info"/>
  </x:conditionalFormatting>
  <x:conditionalFormatting sqref="H12:H37">
    <x:cfRule type="containsText" dxfId="2" priority="3" operator="containsText" text="Fully Netted"/>
    <x:cfRule type="containsText" dxfId="3" priority="4" operator="containsText" text="Settlement Requir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2" hidden="0" customWidth="1"/>
    <x:col min="5" max="5" width="13" hidden="0" customWidth="1"/>
    <x:col min="6" max="6" width="12" hidden="0" customWidth="1"/>
    <x:col min="7" max="7" width="12" hidden="0" customWidth="1"/>
    <x:col min="8" max="8" width="10" hidden="0" customWidth="1"/>
    <x:col min="9" max="9" width="15" hidden="0" customWidth="1"/>
    <x:col min="10" max="10" width="10" hidden="0" customWidth="1"/>
    <x:col min="11" max="11" width="16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4" hidden="0" customWidth="1"/>
    <x:col min="17" max="17" width="16" hidden="0" customWidth="1"/>
    <x:col min="18" max="18" width="16" hidden="0" customWidth="1"/>
  </x:cols>
  <x:sheetData>
    <x:row r="1">
      <x:c r="A1" s="10" t="str">
        <x:v>Reference</x:v>
      </x:c>
      <x:c r="B1" s="11" t="str">
        <x:v>Entity</x:v>
      </x:c>
      <x:c r="C1" s="11" t="str">
        <x:v>Counterparty</x:v>
      </x:c>
      <x:c r="D1" s="11" t="str">
        <x:v>Int/Ext</x:v>
      </x:c>
      <x:c r="E1" s="11" t="str">
        <x:v>Value Date</x:v>
      </x:c>
      <x:c r="F1" s="11" t="str">
        <x:v>Deal Type</x:v>
      </x:c>
      <x:c r="G1" s="11" t="str">
        <x:v>Buy/Sell</x:v>
      </x:c>
      <x:c r="H1" s="11" t="str">
        <x:v>Currency</x:v>
      </x:c>
      <x:c r="I1" s="11" t="str">
        <x:v>Amount</x:v>
      </x:c>
      <x:c r="J1" s="11" t="str">
        <x:v>Rate</x:v>
      </x:c>
      <x:c r="K1" s="11" t="str">
        <x:v>Equivalent Currency</x:v>
      </x:c>
      <x:c r="L1" s="11" t="str">
        <x:v>Equivalent Amount EUR</x:v>
      </x:c>
      <x:c r="M1" s="11" t="str">
        <x:v>Mark-to-market</x:v>
      </x:c>
      <x:c r="N1" s="11" t="str">
        <x:v>Diff. in GC</x:v>
      </x:c>
      <x:c r="O1" s="11" t="str">
        <x:v>Amount (MTM) EUR</x:v>
      </x:c>
      <x:c r="P1" s="11" t="str">
        <x:v>Portfolio</x:v>
      </x:c>
      <x:c r="Q1" s="11" t="str">
        <x:v>Net Amount</x:v>
      </x:c>
      <x:c r="R1" s="12" t="str">
        <x:v>Net EUR Equivalent</x:v>
      </x:c>
    </x:row>
    <x:row r="2">
      <x:c r="A2" s="13" t="str">
        <x:v>FW-105707</x:v>
      </x:c>
      <x:c r="B2" s="14" t="str">
        <x:v>L_4016_DE</x:v>
      </x:c>
      <x:c r="C2" s="14" t="str">
        <x:v>L_0100_LU</x:v>
      </x:c>
      <x:c r="D2" s="14" t="str">
        <x:v>Internal</x:v>
      </x:c>
      <x:c r="E2" s="5" t="n">
        <x:v>46258</x:v>
      </x:c>
      <x:c r="F2" s="14" t="str">
        <x:v>Forward</x:v>
      </x:c>
      <x:c r="G2" s="14" t="str">
        <x:v>Buy</x:v>
      </x:c>
      <x:c r="H2" s="14" t="str">
        <x:v>SGD</x:v>
      </x:c>
      <x:c r="I2" s="6" t="n">
        <x:v>300000</x:v>
      </x:c>
      <x:c r="J2" s="7" t="n">
        <x:v>1.4756</x:v>
      </x:c>
      <x:c r="K2" s="14" t="str">
        <x:v>EUR</x:v>
      </x:c>
      <x:c r="L2" s="6" t="n">
        <x:v>-203307.13</x:v>
      </x:c>
      <x:c r="M2" s="6" t="n">
        <x:v>1.486</x:v>
      </x:c>
      <x:c r="N2" s="6" t="n">
        <x:v>-1422.88</x:v>
      </x:c>
      <x:c r="O2" s="6" t="n">
        <x:v>-201884.25</x:v>
      </x:c>
      <x:c r="P2" s="14" t="str">
        <x:v>FX-OP-UDL</x:v>
      </x:c>
      <x:c r="Q2" s="9" t="n">
        <x:f>I2</x:f>
        <x:v>300000</x:v>
      </x:c>
      <x:c r="R2" s="15" t="n">
        <x:f>L2</x:f>
        <x:v>-203307.13</x:v>
      </x:c>
    </x:row>
    <x:row r="3">
      <x:c r="A3" s="13" t="str">
        <x:v>FW-105086</x:v>
      </x:c>
      <x:c r="B3" s="14" t="str">
        <x:v>L_6129_DE</x:v>
      </x:c>
      <x:c r="C3" s="14" t="str">
        <x:v>L_0100_LU</x:v>
      </x:c>
      <x:c r="D3" s="14" t="str">
        <x:v>Internal</x:v>
      </x:c>
      <x:c r="E3" s="5" t="n">
        <x:v>46258</x:v>
      </x:c>
      <x:c r="F3" s="14" t="str">
        <x:v>Forward</x:v>
      </x:c>
      <x:c r="G3" s="14" t="str">
        <x:v>Buy</x:v>
      </x:c>
      <x:c r="H3" s="14" t="str">
        <x:v>USD</x:v>
      </x:c>
      <x:c r="I3" s="6" t="n">
        <x:v>100000</x:v>
      </x:c>
      <x:c r="J3" s="7" t="n">
        <x:v>1.1432</x:v>
      </x:c>
      <x:c r="K3" s="14" t="str">
        <x:v>EUR</x:v>
      </x:c>
      <x:c r="L3" s="6" t="n">
        <x:v>-87473.76</x:v>
      </x:c>
      <x:c r="M3" s="6" t="n">
        <x:v>1.1681</x:v>
      </x:c>
      <x:c r="N3" s="6" t="n">
        <x:v>-1864.65</x:v>
      </x:c>
      <x:c r="O3" s="6" t="n">
        <x:v>-85609.11</x:v>
      </x:c>
      <x:c r="P3" s="14" t="str">
        <x:v>FX-OP-UDL</x:v>
      </x:c>
      <x:c r="Q3" s="9" t="n">
        <x:f>I3</x:f>
        <x:v>100000</x:v>
      </x:c>
      <x:c r="R3" s="15" t="n">
        <x:f>L3</x:f>
        <x:v>-87473.76</x:v>
      </x:c>
    </x:row>
    <x:row r="4">
      <x:c r="A4" s="13" t="str">
        <x:v>FW-105092</x:v>
      </x:c>
      <x:c r="B4" s="14" t="str">
        <x:v>L_6129_DE</x:v>
      </x:c>
      <x:c r="C4" s="14" t="str">
        <x:v>L_0100_LU</x:v>
      </x:c>
      <x:c r="D4" s="14" t="str">
        <x:v>Internal</x:v>
      </x:c>
      <x:c r="E4" s="5" t="n">
        <x:v>46258</x:v>
      </x:c>
      <x:c r="F4" s="14" t="str">
        <x:v>Forward</x:v>
      </x:c>
      <x:c r="G4" s="14" t="str">
        <x:v>Buy</x:v>
      </x:c>
      <x:c r="H4" s="14" t="str">
        <x:v>CNY</x:v>
      </x:c>
      <x:c r="I4" s="6" t="n">
        <x:v>1500000</x:v>
      </x:c>
      <x:c r="J4" s="7" t="n">
        <x:v>7.7235</x:v>
      </x:c>
      <x:c r="K4" s="14" t="str">
        <x:v>EUR</x:v>
      </x:c>
      <x:c r="L4" s="6" t="n">
        <x:v>-194212.47</x:v>
      </x:c>
      <x:c r="M4" s="6" t="n">
        <x:v>7.8538</x:v>
      </x:c>
      <x:c r="N4" s="6" t="n">
        <x:v>-3222.12</x:v>
      </x:c>
      <x:c r="O4" s="6" t="n">
        <x:v>-190990.35</x:v>
      </x:c>
      <x:c r="P4" s="14" t="str">
        <x:v>FX-OP-UDL</x:v>
      </x:c>
      <x:c r="Q4" s="9" t="n">
        <x:f>I4</x:f>
        <x:v>1500000</x:v>
      </x:c>
      <x:c r="R4" s="15" t="n">
        <x:f>L4</x:f>
        <x:v>-194212.47</x:v>
      </x:c>
    </x:row>
    <x:row r="5">
      <x:c r="A5" s="13" t="str">
        <x:v>FW-105100</x:v>
      </x:c>
      <x:c r="B5" s="14" t="str">
        <x:v>L_6129_DE</x:v>
      </x:c>
      <x:c r="C5" s="14" t="str">
        <x:v>L_0100_LU</x:v>
      </x:c>
      <x:c r="D5" s="14" t="str">
        <x:v>Internal</x:v>
      </x:c>
      <x:c r="E5" s="5" t="n">
        <x:v>46258</x:v>
      </x:c>
      <x:c r="F5" s="14" t="str">
        <x:v>Forward</x:v>
      </x:c>
      <x:c r="G5" s="14" t="str">
        <x:v>Buy</x:v>
      </x:c>
      <x:c r="H5" s="14" t="str">
        <x:v>CNY</x:v>
      </x:c>
      <x:c r="I5" s="6" t="n">
        <x:v>1000000</x:v>
      </x:c>
      <x:c r="J5" s="7" t="n">
        <x:v>7.7398</x:v>
      </x:c>
      <x:c r="K5" s="14" t="str">
        <x:v>EUR</x:v>
      </x:c>
      <x:c r="L5" s="6" t="n">
        <x:v>-129202.3</x:v>
      </x:c>
      <x:c r="M5" s="6" t="n">
        <x:v>7.8538</x:v>
      </x:c>
      <x:c r="N5" s="6" t="n">
        <x:v>-1875.41</x:v>
      </x:c>
      <x:c r="O5" s="6" t="n">
        <x:v>-127326.9</x:v>
      </x:c>
      <x:c r="P5" s="14" t="str">
        <x:v>FX-OP-UDL</x:v>
      </x:c>
      <x:c r="Q5" s="9" t="n">
        <x:f>I5</x:f>
        <x:v>1000000</x:v>
      </x:c>
      <x:c r="R5" s="15" t="n">
        <x:f>L5</x:f>
        <x:v>-129202.3</x:v>
      </x:c>
    </x:row>
    <x:row r="6">
      <x:c r="A6" s="13" t="str">
        <x:v>FW-105103</x:v>
      </x:c>
      <x:c r="B6" s="14" t="str">
        <x:v>L_6129_DE</x:v>
      </x:c>
      <x:c r="C6" s="14" t="str">
        <x:v>L_0100_LU</x:v>
      </x:c>
      <x:c r="D6" s="14" t="str">
        <x:v>Internal</x:v>
      </x:c>
      <x:c r="E6" s="5" t="n">
        <x:v>46258</x:v>
      </x:c>
      <x:c r="F6" s="14" t="str">
        <x:v>Forward</x:v>
      </x:c>
      <x:c r="G6" s="14" t="str">
        <x:v>Buy</x:v>
      </x:c>
      <x:c r="H6" s="14" t="str">
        <x:v>HKD</x:v>
      </x:c>
      <x:c r="I6" s="6" t="n">
        <x:v>1000000</x:v>
      </x:c>
      <x:c r="J6" s="7" t="n">
        <x:v>8.9713</x:v>
      </x:c>
      <x:c r="K6" s="14" t="str">
        <x:v>EUR</x:v>
      </x:c>
      <x:c r="L6" s="6" t="n">
        <x:v>-111466.57</x:v>
      </x:c>
      <x:c r="M6" s="6" t="n">
        <x:v>9.1624</x:v>
      </x:c>
      <x:c r="N6" s="6" t="n">
        <x:v>-2324.86</x:v>
      </x:c>
      <x:c r="O6" s="6" t="n">
        <x:v>-109141.71</x:v>
      </x:c>
      <x:c r="P6" s="14" t="str">
        <x:v>FX-OP-UDL</x:v>
      </x:c>
      <x:c r="Q6" s="9" t="n">
        <x:f>I6</x:f>
        <x:v>1000000</x:v>
      </x:c>
      <x:c r="R6" s="15" t="n">
        <x:f>L6</x:f>
        <x:v>-111466.57</x:v>
      </x:c>
    </x:row>
    <x:row r="7">
      <x:c r="A7" s="13" t="str">
        <x:v>FW-105115</x:v>
      </x:c>
      <x:c r="B7" s="14" t="str">
        <x:v>L_6129_DE</x:v>
      </x:c>
      <x:c r="C7" s="14" t="str">
        <x:v>L_0100_LU</x:v>
      </x:c>
      <x:c r="D7" s="14" t="str">
        <x:v>Internal</x:v>
      </x:c>
      <x:c r="E7" s="5" t="n">
        <x:v>46258</x:v>
      </x:c>
      <x:c r="F7" s="14" t="str">
        <x:v>Forward</x:v>
      </x:c>
      <x:c r="G7" s="14" t="str">
        <x:v>Buy</x:v>
      </x:c>
      <x:c r="H7" s="14" t="str">
        <x:v>CNY</x:v>
      </x:c>
      <x:c r="I7" s="6" t="n">
        <x:v>2000000</x:v>
      </x:c>
      <x:c r="J7" s="7" t="n">
        <x:v>7.7327</x:v>
      </x:c>
      <x:c r="K7" s="14" t="str">
        <x:v>EUR</x:v>
      </x:c>
      <x:c r="L7" s="6" t="n">
        <x:v>-258641.87</x:v>
      </x:c>
      <x:c r="M7" s="6" t="n">
        <x:v>7.8538</x:v>
      </x:c>
      <x:c r="N7" s="6" t="n">
        <x:v>-3988.07</x:v>
      </x:c>
      <x:c r="O7" s="6" t="n">
        <x:v>-254653.8</x:v>
      </x:c>
      <x:c r="P7" s="14" t="str">
        <x:v>FX-OP-UDL</x:v>
      </x:c>
      <x:c r="Q7" s="9" t="n">
        <x:f>I7</x:f>
        <x:v>2000000</x:v>
      </x:c>
      <x:c r="R7" s="15" t="n">
        <x:f>L7</x:f>
        <x:v>-258641.87</x:v>
      </x:c>
    </x:row>
    <x:row r="8">
      <x:c r="A8" s="13" t="str">
        <x:v>FW-105118</x:v>
      </x:c>
      <x:c r="B8" s="14" t="str">
        <x:v>L_6129_DE</x:v>
      </x:c>
      <x:c r="C8" s="14" t="str">
        <x:v>L_0100_LU</x:v>
      </x:c>
      <x:c r="D8" s="14" t="str">
        <x:v>Internal</x:v>
      </x:c>
      <x:c r="E8" s="5" t="n">
        <x:v>46258</x:v>
      </x:c>
      <x:c r="F8" s="14" t="str">
        <x:v>Forward</x:v>
      </x:c>
      <x:c r="G8" s="14" t="str">
        <x:v>Buy</x:v>
      </x:c>
      <x:c r="H8" s="14" t="str">
        <x:v>HKD</x:v>
      </x:c>
      <x:c r="I8" s="6" t="n">
        <x:v>2000000</x:v>
      </x:c>
      <x:c r="J8" s="7" t="n">
        <x:v>8.9481</x:v>
      </x:c>
      <x:c r="K8" s="14" t="str">
        <x:v>EUR</x:v>
      </x:c>
      <x:c r="L8" s="6" t="n">
        <x:v>-223511.14</x:v>
      </x:c>
      <x:c r="M8" s="6" t="n">
        <x:v>9.1624</x:v>
      </x:c>
      <x:c r="N8" s="6" t="n">
        <x:v>-5227.72</x:v>
      </x:c>
      <x:c r="O8" s="6" t="n">
        <x:v>-218283.42</x:v>
      </x:c>
      <x:c r="P8" s="14" t="str">
        <x:v>FX-OP-UDL</x:v>
      </x:c>
      <x:c r="Q8" s="9" t="n">
        <x:f>I8</x:f>
        <x:v>2000000</x:v>
      </x:c>
      <x:c r="R8" s="15" t="n">
        <x:f>L8</x:f>
        <x:v>-223511.14</x:v>
      </x:c>
    </x:row>
    <x:row r="9">
      <x:c r="A9" s="13" t="str">
        <x:v>FW-105131</x:v>
      </x:c>
      <x:c r="B9" s="14" t="str">
        <x:v>L_6129_DE</x:v>
      </x:c>
      <x:c r="C9" s="14" t="str">
        <x:v>L_0100_LU</x:v>
      </x:c>
      <x:c r="D9" s="14" t="str">
        <x:v>Internal</x:v>
      </x:c>
      <x:c r="E9" s="5" t="n">
        <x:v>46258</x:v>
      </x:c>
      <x:c r="F9" s="14" t="str">
        <x:v>Forward</x:v>
      </x:c>
      <x:c r="G9" s="14" t="str">
        <x:v>Buy</x:v>
      </x:c>
      <x:c r="H9" s="14" t="str">
        <x:v>USD</x:v>
      </x:c>
      <x:c r="I9" s="6" t="n">
        <x:v>280000</x:v>
      </x:c>
      <x:c r="J9" s="7" t="n">
        <x:v>1.144947</x:v>
      </x:c>
      <x:c r="K9" s="14" t="str">
        <x:v>EUR</x:v>
      </x:c>
      <x:c r="L9" s="6" t="n">
        <x:v>-244552.8</x:v>
      </x:c>
      <x:c r="M9" s="6" t="n">
        <x:v>1.1681</x:v>
      </x:c>
      <x:c r="N9" s="6" t="n">
        <x:v>-4847.3</x:v>
      </x:c>
      <x:c r="O9" s="6" t="n">
        <x:v>-239705.5</x:v>
      </x:c>
      <x:c r="P9" s="14" t="str">
        <x:v>FX-OP-UDL</x:v>
      </x:c>
      <x:c r="Q9" s="9" t="n">
        <x:f>I9</x:f>
        <x:v>280000</x:v>
      </x:c>
      <x:c r="R9" s="15" t="n">
        <x:f>L9</x:f>
        <x:v>-244552.8</x:v>
      </x:c>
    </x:row>
    <x:row r="10">
      <x:c r="A10" s="13" t="str">
        <x:v>FW-105141</x:v>
      </x:c>
      <x:c r="B10" s="14" t="str">
        <x:v>L_6129_DE</x:v>
      </x:c>
      <x:c r="C10" s="14" t="str">
        <x:v>L_0100_LU</x:v>
      </x:c>
      <x:c r="D10" s="14" t="str">
        <x:v>Internal</x:v>
      </x:c>
      <x:c r="E10" s="5" t="n">
        <x:v>46258</x:v>
      </x:c>
      <x:c r="F10" s="14" t="str">
        <x:v>Forward</x:v>
      </x:c>
      <x:c r="G10" s="14" t="str">
        <x:v>Buy</x:v>
      </x:c>
      <x:c r="H10" s="14" t="str">
        <x:v>HKD</x:v>
      </x:c>
      <x:c r="I10" s="6" t="n">
        <x:v>1000000</x:v>
      </x:c>
      <x:c r="J10" s="7" t="n">
        <x:v>8.9542</x:v>
      </x:c>
      <x:c r="K10" s="14" t="str">
        <x:v>EUR</x:v>
      </x:c>
      <x:c r="L10" s="6" t="n">
        <x:v>-111679.44</x:v>
      </x:c>
      <x:c r="M10" s="6" t="n">
        <x:v>9.1624</x:v>
      </x:c>
      <x:c r="N10" s="6" t="n">
        <x:v>-2537.73</x:v>
      </x:c>
      <x:c r="O10" s="6" t="n">
        <x:v>-109141.71</x:v>
      </x:c>
      <x:c r="P10" s="14" t="str">
        <x:v>FX-OP-UDL</x:v>
      </x:c>
      <x:c r="Q10" s="9" t="n">
        <x:f>I10</x:f>
        <x:v>1000000</x:v>
      </x:c>
      <x:c r="R10" s="15" t="n">
        <x:f>L10</x:f>
        <x:v>-111679.44</x:v>
      </x:c>
    </x:row>
    <x:row r="11">
      <x:c r="A11" s="13" t="str">
        <x:v>FW-105144</x:v>
      </x:c>
      <x:c r="B11" s="14" t="str">
        <x:v>L_6129_DE</x:v>
      </x:c>
      <x:c r="C11" s="14" t="str">
        <x:v>L_0100_LU</x:v>
      </x:c>
      <x:c r="D11" s="14" t="str">
        <x:v>Internal</x:v>
      </x:c>
      <x:c r="E11" s="5" t="n">
        <x:v>46258</x:v>
      </x:c>
      <x:c r="F11" s="14" t="str">
        <x:v>Forward</x:v>
      </x:c>
      <x:c r="G11" s="14" t="str">
        <x:v>Buy</x:v>
      </x:c>
      <x:c r="H11" s="14" t="str">
        <x:v>CNY</x:v>
      </x:c>
      <x:c r="I11" s="6" t="n">
        <x:v>2200000</x:v>
      </x:c>
      <x:c r="J11" s="7" t="n">
        <x:v>7.7411</x:v>
      </x:c>
      <x:c r="K11" s="14" t="str">
        <x:v>EUR</x:v>
      </x:c>
      <x:c r="L11" s="6" t="n">
        <x:v>-284197.34</x:v>
      </x:c>
      <x:c r="M11" s="6" t="n">
        <x:v>7.8538</x:v>
      </x:c>
      <x:c r="N11" s="6" t="n">
        <x:v>-4078.16</x:v>
      </x:c>
      <x:c r="O11" s="6" t="n">
        <x:v>-280119.18</x:v>
      </x:c>
      <x:c r="P11" s="14" t="str">
        <x:v>FX-OP-UDL</x:v>
      </x:c>
      <x:c r="Q11" s="9" t="n">
        <x:f>I11</x:f>
        <x:v>2200000</x:v>
      </x:c>
      <x:c r="R11" s="15" t="n">
        <x:f>L11</x:f>
        <x:v>-284197.34</x:v>
      </x:c>
    </x:row>
    <x:row r="12">
      <x:c r="A12" s="13" t="str">
        <x:v>FW-105150</x:v>
      </x:c>
      <x:c r="B12" s="14" t="str">
        <x:v>L_6129_DE</x:v>
      </x:c>
      <x:c r="C12" s="14" t="str">
        <x:v>L_0100_LU</x:v>
      </x:c>
      <x:c r="D12" s="14" t="str">
        <x:v>Internal</x:v>
      </x:c>
      <x:c r="E12" s="5" t="n">
        <x:v>46258</x:v>
      </x:c>
      <x:c r="F12" s="14" t="str">
        <x:v>Forward</x:v>
      </x:c>
      <x:c r="G12" s="14" t="str">
        <x:v>Sell</x:v>
      </x:c>
      <x:c r="H12" s="14" t="str">
        <x:v>GBP</x:v>
      </x:c>
      <x:c r="I12" s="6" t="n">
        <x:v>-120000</x:v>
      </x:c>
      <x:c r="J12" s="7" t="n">
        <x:v>0.8561</x:v>
      </x:c>
      <x:c r="K12" s="14" t="str">
        <x:v>EUR</x:v>
      </x:c>
      <x:c r="L12" s="6" t="n">
        <x:v>140170.54</x:v>
      </x:c>
      <x:c r="M12" s="6" t="n">
        <x:v>0.85725</x:v>
      </x:c>
      <x:c r="N12" s="6" t="n">
        <x:v>188.04</x:v>
      </x:c>
      <x:c r="O12" s="6" t="n">
        <x:v>139982.5</x:v>
      </x:c>
      <x:c r="P12" s="14" t="str">
        <x:v>FX-OP-UDL</x:v>
      </x:c>
      <x:c r="Q12" s="9" t="n">
        <x:f>I12</x:f>
        <x:v>-120000</x:v>
      </x:c>
      <x:c r="R12" s="15" t="n">
        <x:f>L12</x:f>
        <x:v>140170.54</x:v>
      </x:c>
    </x:row>
    <x:row r="13">
      <x:c r="A13" s="13" t="str">
        <x:v>FW-105167</x:v>
      </x:c>
      <x:c r="B13" s="14" t="str">
        <x:v>L_6129_DE</x:v>
      </x:c>
      <x:c r="C13" s="14" t="str">
        <x:v>L_0100_LU</x:v>
      </x:c>
      <x:c r="D13" s="14" t="str">
        <x:v>Internal</x:v>
      </x:c>
      <x:c r="E13" s="5" t="n">
        <x:v>46258</x:v>
      </x:c>
      <x:c r="F13" s="14" t="str">
        <x:v>Forward</x:v>
      </x:c>
      <x:c r="G13" s="14" t="str">
        <x:v>Buy</x:v>
      </x:c>
      <x:c r="H13" s="14" t="str">
        <x:v>CNY</x:v>
      </x:c>
      <x:c r="I13" s="6" t="n">
        <x:v>2000000</x:v>
      </x:c>
      <x:c r="J13" s="7" t="n">
        <x:v>7.7375</x:v>
      </x:c>
      <x:c r="K13" s="14" t="str">
        <x:v>EUR</x:v>
      </x:c>
      <x:c r="L13" s="6" t="n">
        <x:v>-258481.42</x:v>
      </x:c>
      <x:c r="M13" s="6" t="n">
        <x:v>7.8538</x:v>
      </x:c>
      <x:c r="N13" s="6" t="n">
        <x:v>-3827.62</x:v>
      </x:c>
      <x:c r="O13" s="6" t="n">
        <x:v>-254653.8</x:v>
      </x:c>
      <x:c r="P13" s="14" t="str">
        <x:v>FX-OP-UDL</x:v>
      </x:c>
      <x:c r="Q13" s="9" t="n">
        <x:f>I13</x:f>
        <x:v>2000000</x:v>
      </x:c>
      <x:c r="R13" s="15" t="n">
        <x:f>L13</x:f>
        <x:v>-258481.42</x:v>
      </x:c>
    </x:row>
    <x:row r="14">
      <x:c r="A14" s="13" t="str">
        <x:v>FW-105170</x:v>
      </x:c>
      <x:c r="B14" s="14" t="str">
        <x:v>L_6129_DE</x:v>
      </x:c>
      <x:c r="C14" s="14" t="str">
        <x:v>L_0100_LU</x:v>
      </x:c>
      <x:c r="D14" s="14" t="str">
        <x:v>Internal</x:v>
      </x:c>
      <x:c r="E14" s="5" t="n">
        <x:v>46258</x:v>
      </x:c>
      <x:c r="F14" s="14" t="str">
        <x:v>Forward</x:v>
      </x:c>
      <x:c r="G14" s="14" t="str">
        <x:v>Buy</x:v>
      </x:c>
      <x:c r="H14" s="14" t="str">
        <x:v>HKD</x:v>
      </x:c>
      <x:c r="I14" s="6" t="n">
        <x:v>1000000</x:v>
      </x:c>
      <x:c r="J14" s="7" t="n">
        <x:v>8.9387</x:v>
      </x:c>
      <x:c r="K14" s="14" t="str">
        <x:v>EUR</x:v>
      </x:c>
      <x:c r="L14" s="6" t="n">
        <x:v>-111873.09</x:v>
      </x:c>
      <x:c r="M14" s="6" t="n">
        <x:v>9.1624</x:v>
      </x:c>
      <x:c r="N14" s="6" t="n">
        <x:v>-2731.38</x:v>
      </x:c>
      <x:c r="O14" s="6" t="n">
        <x:v>-109141.71</x:v>
      </x:c>
      <x:c r="P14" s="14" t="str">
        <x:v>FX-OP-UDL</x:v>
      </x:c>
      <x:c r="Q14" s="9" t="n">
        <x:f>I14</x:f>
        <x:v>1000000</x:v>
      </x:c>
      <x:c r="R14" s="15" t="n">
        <x:f>L14</x:f>
        <x:v>-111873.09</x:v>
      </x:c>
    </x:row>
    <x:row r="15">
      <x:c r="A15" s="13" t="str">
        <x:v>FW-105173</x:v>
      </x:c>
      <x:c r="B15" s="14" t="str">
        <x:v>L_6129_DE</x:v>
      </x:c>
      <x:c r="C15" s="14" t="str">
        <x:v>L_0100_LU</x:v>
      </x:c>
      <x:c r="D15" s="14" t="str">
        <x:v>Internal</x:v>
      </x:c>
      <x:c r="E15" s="5" t="n">
        <x:v>46258</x:v>
      </x:c>
      <x:c r="F15" s="14" t="str">
        <x:v>Forward</x:v>
      </x:c>
      <x:c r="G15" s="14" t="str">
        <x:v>Sell</x:v>
      </x:c>
      <x:c r="H15" s="14" t="str">
        <x:v>SGD</x:v>
      </x:c>
      <x:c r="I15" s="6" t="n">
        <x:v>-100000</x:v>
      </x:c>
      <x:c r="J15" s="7" t="n">
        <x:v>1.4775</x:v>
      </x:c>
      <x:c r="K15" s="14" t="str">
        <x:v>EUR</x:v>
      </x:c>
      <x:c r="L15" s="6" t="n">
        <x:v>67681.9</x:v>
      </x:c>
      <x:c r="M15" s="6" t="n">
        <x:v>1.486</x:v>
      </x:c>
      <x:c r="N15" s="6" t="n">
        <x:v>387.14</x:v>
      </x:c>
      <x:c r="O15" s="6" t="n">
        <x:v>67294.75</x:v>
      </x:c>
      <x:c r="P15" s="14" t="str">
        <x:v>FX-OP-UDL</x:v>
      </x:c>
      <x:c r="Q15" s="9" t="n">
        <x:f>I15</x:f>
        <x:v>-100000</x:v>
      </x:c>
      <x:c r="R15" s="15" t="n">
        <x:f>L15</x:f>
        <x:v>67681.9</x:v>
      </x:c>
    </x:row>
    <x:row r="16">
      <x:c r="A16" s="13" t="str">
        <x:v>FW-105176</x:v>
      </x:c>
      <x:c r="B16" s="14" t="str">
        <x:v>L_6129_DE</x:v>
      </x:c>
      <x:c r="C16" s="14" t="str">
        <x:v>L_0100_LU</x:v>
      </x:c>
      <x:c r="D16" s="14" t="str">
        <x:v>Internal</x:v>
      </x:c>
      <x:c r="E16" s="5" t="n">
        <x:v>46258</x:v>
      </x:c>
      <x:c r="F16" s="14" t="str">
        <x:v>Forward</x:v>
      </x:c>
      <x:c r="G16" s="14" t="str">
        <x:v>Sell</x:v>
      </x:c>
      <x:c r="H16" s="14" t="str">
        <x:v>GBP</x:v>
      </x:c>
      <x:c r="I16" s="6" t="n">
        <x:v>-100000</x:v>
      </x:c>
      <x:c r="J16" s="7" t="n">
        <x:v>0.858</x:v>
      </x:c>
      <x:c r="K16" s="14" t="str">
        <x:v>EUR</x:v>
      </x:c>
      <x:c r="L16" s="6" t="n">
        <x:v>116550.12</x:v>
      </x:c>
      <x:c r="M16" s="6" t="n">
        <x:v>0.85725</x:v>
      </x:c>
      <x:c r="N16" s="6" t="n">
        <x:v>-101.97</x:v>
      </x:c>
      <x:c r="O16" s="6" t="n">
        <x:v>116652.09</x:v>
      </x:c>
      <x:c r="P16" s="14" t="str">
        <x:v>FX-OP-UDL</x:v>
      </x:c>
      <x:c r="Q16" s="9" t="n">
        <x:f>I16</x:f>
        <x:v>-100000</x:v>
      </x:c>
      <x:c r="R16" s="15" t="n">
        <x:f>L16</x:f>
        <x:v>116550.12</x:v>
      </x:c>
    </x:row>
    <x:row r="17">
      <x:c r="A17" s="13" t="str">
        <x:v>FW-105201</x:v>
      </x:c>
      <x:c r="B17" s="14" t="str">
        <x:v>L_6129_DE</x:v>
      </x:c>
      <x:c r="C17" s="14" t="str">
        <x:v>L_0100_LU</x:v>
      </x:c>
      <x:c r="D17" s="14" t="str">
        <x:v>Internal</x:v>
      </x:c>
      <x:c r="E17" s="5" t="n">
        <x:v>46258</x:v>
      </x:c>
      <x:c r="F17" s="14" t="str">
        <x:v>Forward</x:v>
      </x:c>
      <x:c r="G17" s="14" t="str">
        <x:v>Buy</x:v>
      </x:c>
      <x:c r="H17" s="14" t="str">
        <x:v>USD</x:v>
      </x:c>
      <x:c r="I17" s="6" t="n">
        <x:v>250000</x:v>
      </x:c>
      <x:c r="J17" s="7" t="n">
        <x:v>1.143143</x:v>
      </x:c>
      <x:c r="K17" s="14" t="str">
        <x:v>EUR</x:v>
      </x:c>
      <x:c r="L17" s="6" t="n">
        <x:v>-218695.3</x:v>
      </x:c>
      <x:c r="M17" s="6" t="n">
        <x:v>1.1681</x:v>
      </x:c>
      <x:c r="N17" s="6" t="n">
        <x:v>-4672.53</x:v>
      </x:c>
      <x:c r="O17" s="6" t="n">
        <x:v>-214022.77</x:v>
      </x:c>
      <x:c r="P17" s="14" t="str">
        <x:v>FX-OP-UDL</x:v>
      </x:c>
      <x:c r="Q17" s="9" t="n">
        <x:f>I17</x:f>
        <x:v>250000</x:v>
      </x:c>
      <x:c r="R17" s="15" t="n">
        <x:f>L17</x:f>
        <x:v>-218695.3</x:v>
      </x:c>
    </x:row>
    <x:row r="18">
      <x:c r="A18" s="13" t="str">
        <x:v>FW-105207</x:v>
      </x:c>
      <x:c r="B18" s="14" t="str">
        <x:v>L_6129_DE</x:v>
      </x:c>
      <x:c r="C18" s="14" t="str">
        <x:v>L_0100_LU</x:v>
      </x:c>
      <x:c r="D18" s="14" t="str">
        <x:v>Internal</x:v>
      </x:c>
      <x:c r="E18" s="5" t="n">
        <x:v>46258</x:v>
      </x:c>
      <x:c r="F18" s="14" t="str">
        <x:v>Forward</x:v>
      </x:c>
      <x:c r="G18" s="14" t="str">
        <x:v>Buy</x:v>
      </x:c>
      <x:c r="H18" s="14" t="str">
        <x:v>HKD</x:v>
      </x:c>
      <x:c r="I18" s="6" t="n">
        <x:v>1700000</x:v>
      </x:c>
      <x:c r="J18" s="7" t="n">
        <x:v>8.9472</x:v>
      </x:c>
      <x:c r="K18" s="14" t="str">
        <x:v>EUR</x:v>
      </x:c>
      <x:c r="L18" s="6" t="n">
        <x:v>-190003.58</x:v>
      </x:c>
      <x:c r="M18" s="6" t="n">
        <x:v>9.1624</x:v>
      </x:c>
      <x:c r="N18" s="6" t="n">
        <x:v>-4462.67</x:v>
      </x:c>
      <x:c r="O18" s="6" t="n">
        <x:v>-185540.91</x:v>
      </x:c>
      <x:c r="P18" s="14" t="str">
        <x:v>FX-OP-UDL</x:v>
      </x:c>
      <x:c r="Q18" s="9" t="n">
        <x:f>I18</x:f>
        <x:v>1700000</x:v>
      </x:c>
      <x:c r="R18" s="15" t="n">
        <x:f>L18</x:f>
        <x:v>-190003.58</x:v>
      </x:c>
    </x:row>
    <x:row r="19">
      <x:c r="A19" s="13" t="str">
        <x:v>FW-105209</x:v>
      </x:c>
      <x:c r="B19" s="14" t="str">
        <x:v>L_6129_DE</x:v>
      </x:c>
      <x:c r="C19" s="14" t="str">
        <x:v>L_0100_LU</x:v>
      </x:c>
      <x:c r="D19" s="14" t="str">
        <x:v>Internal</x:v>
      </x:c>
      <x:c r="E19" s="5" t="n">
        <x:v>46258</x:v>
      </x:c>
      <x:c r="F19" s="14" t="str">
        <x:v>Forward</x:v>
      </x:c>
      <x:c r="G19" s="14" t="str">
        <x:v>Buy</x:v>
      </x:c>
      <x:c r="H19" s="14" t="str">
        <x:v>CNY</x:v>
      </x:c>
      <x:c r="I19" s="6" t="n">
        <x:v>800000</x:v>
      </x:c>
      <x:c r="J19" s="7" t="n">
        <x:v>7.755</x:v>
      </x:c>
      <x:c r="K19" s="14" t="str">
        <x:v>EUR</x:v>
      </x:c>
      <x:c r="L19" s="6" t="n">
        <x:v>-103159.25</x:v>
      </x:c>
      <x:c r="M19" s="6" t="n">
        <x:v>7.8538</x:v>
      </x:c>
      <x:c r="N19" s="6" t="n">
        <x:v>-1297.73</x:v>
      </x:c>
      <x:c r="O19" s="6" t="n">
        <x:v>-101861.52</x:v>
      </x:c>
      <x:c r="P19" s="14" t="str">
        <x:v>FX-OP-UDL</x:v>
      </x:c>
      <x:c r="Q19" s="9" t="n">
        <x:f>I19</x:f>
        <x:v>800000</x:v>
      </x:c>
      <x:c r="R19" s="15" t="n">
        <x:f>L19</x:f>
        <x:v>-103159.25</x:v>
      </x:c>
    </x:row>
    <x:row r="20">
      <x:c r="A20" s="13" t="str">
        <x:v>FW-105259</x:v>
      </x:c>
      <x:c r="B20" s="14" t="str">
        <x:v>L_6129_DE</x:v>
      </x:c>
      <x:c r="C20" s="14" t="str">
        <x:v>L_0100_LU</x:v>
      </x:c>
      <x:c r="D20" s="14" t="str">
        <x:v>Internal</x:v>
      </x:c>
      <x:c r="E20" s="5" t="n">
        <x:v>46258</x:v>
      </x:c>
      <x:c r="F20" s="14" t="str">
        <x:v>Forward</x:v>
      </x:c>
      <x:c r="G20" s="14" t="str">
        <x:v>Buy</x:v>
      </x:c>
      <x:c r="H20" s="14" t="str">
        <x:v>CNY</x:v>
      </x:c>
      <x:c r="I20" s="6" t="n">
        <x:v>2000000</x:v>
      </x:c>
      <x:c r="J20" s="7" t="n">
        <x:v>7.7215</x:v>
      </x:c>
      <x:c r="K20" s="14" t="str">
        <x:v>EUR</x:v>
      </x:c>
      <x:c r="L20" s="6" t="n">
        <x:v>-259017.03</x:v>
      </x:c>
      <x:c r="M20" s="6" t="n">
        <x:v>7.8538</x:v>
      </x:c>
      <x:c r="N20" s="6" t="n">
        <x:v>-4363.23</x:v>
      </x:c>
      <x:c r="O20" s="6" t="n">
        <x:v>-254653.8</x:v>
      </x:c>
      <x:c r="P20" s="14" t="str">
        <x:v>FX-OP-UDL</x:v>
      </x:c>
      <x:c r="Q20" s="9" t="n">
        <x:f>I20</x:f>
        <x:v>2000000</x:v>
      </x:c>
      <x:c r="R20" s="15" t="n">
        <x:f>L20</x:f>
        <x:v>-259017.03</x:v>
      </x:c>
    </x:row>
    <x:row r="21">
      <x:c r="A21" s="13" t="str">
        <x:v>FW-105262</x:v>
      </x:c>
      <x:c r="B21" s="14" t="str">
        <x:v>L_6129_DE</x:v>
      </x:c>
      <x:c r="C21" s="14" t="str">
        <x:v>L_0100_LU</x:v>
      </x:c>
      <x:c r="D21" s="14" t="str">
        <x:v>Internal</x:v>
      </x:c>
      <x:c r="E21" s="5" t="n">
        <x:v>46258</x:v>
      </x:c>
      <x:c r="F21" s="14" t="str">
        <x:v>Forward</x:v>
      </x:c>
      <x:c r="G21" s="14" t="str">
        <x:v>Sell</x:v>
      </x:c>
      <x:c r="H21" s="14" t="str">
        <x:v>GBP</x:v>
      </x:c>
      <x:c r="I21" s="6" t="n">
        <x:v>-150000</x:v>
      </x:c>
      <x:c r="J21" s="7" t="n">
        <x:v>0.8546</x:v>
      </x:c>
      <x:c r="K21" s="14" t="str">
        <x:v>EUR</x:v>
      </x:c>
      <x:c r="L21" s="6" t="n">
        <x:v>175520.71</x:v>
      </x:c>
      <x:c r="M21" s="6" t="n">
        <x:v>0.85725</x:v>
      </x:c>
      <x:c r="N21" s="6" t="n">
        <x:v>542.58</x:v>
      </x:c>
      <x:c r="O21" s="6" t="n">
        <x:v>174978.13</x:v>
      </x:c>
      <x:c r="P21" s="14" t="str">
        <x:v>FX-OP-UDL</x:v>
      </x:c>
      <x:c r="Q21" s="9" t="n">
        <x:f>I21</x:f>
        <x:v>-150000</x:v>
      </x:c>
      <x:c r="R21" s="15" t="n">
        <x:f>L21</x:f>
        <x:v>175520.71</x:v>
      </x:c>
    </x:row>
    <x:row r="22">
      <x:c r="A22" s="13" t="str">
        <x:v>FW-105265</x:v>
      </x:c>
      <x:c r="B22" s="14" t="str">
        <x:v>L_6129_DE</x:v>
      </x:c>
      <x:c r="C22" s="14" t="str">
        <x:v>L_0100_LU</x:v>
      </x:c>
      <x:c r="D22" s="14" t="str">
        <x:v>Internal</x:v>
      </x:c>
      <x:c r="E22" s="5" t="n">
        <x:v>46258</x:v>
      </x:c>
      <x:c r="F22" s="14" t="str">
        <x:v>Forward</x:v>
      </x:c>
      <x:c r="G22" s="14" t="str">
        <x:v>Buy</x:v>
      </x:c>
      <x:c r="H22" s="14" t="str">
        <x:v>THB</x:v>
      </x:c>
      <x:c r="I22" s="6" t="n">
        <x:v>4000000</x:v>
      </x:c>
      <x:c r="J22" s="7" t="n">
        <x:v>37.8</x:v>
      </x:c>
      <x:c r="K22" s="14" t="str">
        <x:v>EUR</x:v>
      </x:c>
      <x:c r="L22" s="6" t="n">
        <x:v>-105820.11</x:v>
      </x:c>
      <x:c r="M22" s="6" t="n">
        <x:v>38.448</x:v>
      </x:c>
      <x:c r="N22" s="6" t="n">
        <x:v>-1783.48</x:v>
      </x:c>
      <x:c r="O22" s="6" t="n">
        <x:v>-104036.62</x:v>
      </x:c>
      <x:c r="P22" s="14" t="str">
        <x:v>FX-OP-UDL</x:v>
      </x:c>
      <x:c r="Q22" s="9" t="n">
        <x:f>I22</x:f>
        <x:v>4000000</x:v>
      </x:c>
      <x:c r="R22" s="15" t="n">
        <x:f>L22</x:f>
        <x:v>-105820.11</x:v>
      </x:c>
    </x:row>
    <x:row r="23">
      <x:c r="A23" s="13" t="str">
        <x:v>FW-105268</x:v>
      </x:c>
      <x:c r="B23" s="14" t="str">
        <x:v>L_6129_DE</x:v>
      </x:c>
      <x:c r="C23" s="14" t="str">
        <x:v>L_0100_LU</x:v>
      </x:c>
      <x:c r="D23" s="14" t="str">
        <x:v>Internal</x:v>
      </x:c>
      <x:c r="E23" s="5" t="n">
        <x:v>46258</x:v>
      </x:c>
      <x:c r="F23" s="14" t="str">
        <x:v>Forward</x:v>
      </x:c>
      <x:c r="G23" s="14" t="str">
        <x:v>Buy</x:v>
      </x:c>
      <x:c r="H23" s="14" t="str">
        <x:v>USD</x:v>
      </x:c>
      <x:c r="I23" s="6" t="n">
        <x:v>150000</x:v>
      </x:c>
      <x:c r="J23" s="7" t="n">
        <x:v>1.1435</x:v>
      </x:c>
      <x:c r="K23" s="14" t="str">
        <x:v>EUR</x:v>
      </x:c>
      <x:c r="L23" s="6" t="n">
        <x:v>-131176.21</x:v>
      </x:c>
      <x:c r="M23" s="6" t="n">
        <x:v>1.1681</x:v>
      </x:c>
      <x:c r="N23" s="6" t="n">
        <x:v>-2762.55</x:v>
      </x:c>
      <x:c r="O23" s="6" t="n">
        <x:v>-128413.66</x:v>
      </x:c>
      <x:c r="P23" s="14" t="str">
        <x:v>FX-OP-UDL</x:v>
      </x:c>
      <x:c r="Q23" s="9" t="n">
        <x:f>I23</x:f>
        <x:v>150000</x:v>
      </x:c>
      <x:c r="R23" s="15" t="n">
        <x:f>L23</x:f>
        <x:v>-131176.21</x:v>
      </x:c>
    </x:row>
    <x:row r="24">
      <x:c r="A24" s="13" t="str">
        <x:v>FW-105285</x:v>
      </x:c>
      <x:c r="B24" s="14" t="str">
        <x:v>L_6129_DE</x:v>
      </x:c>
      <x:c r="C24" s="14" t="str">
        <x:v>L_0100_LU</x:v>
      </x:c>
      <x:c r="D24" s="14" t="str">
        <x:v>Internal</x:v>
      </x:c>
      <x:c r="E24" s="5" t="n">
        <x:v>46258</x:v>
      </x:c>
      <x:c r="F24" s="14" t="str">
        <x:v>Forward</x:v>
      </x:c>
      <x:c r="G24" s="14" t="str">
        <x:v>Buy</x:v>
      </x:c>
      <x:c r="H24" s="14" t="str">
        <x:v>CNY</x:v>
      </x:c>
      <x:c r="I24" s="6" t="n">
        <x:v>1300000</x:v>
      </x:c>
      <x:c r="J24" s="7" t="n">
        <x:v>7.7278</x:v>
      </x:c>
      <x:c r="K24" s="14" t="str">
        <x:v>EUR</x:v>
      </x:c>
      <x:c r="L24" s="6" t="n">
        <x:v>-168223.82</x:v>
      </x:c>
      <x:c r="M24" s="6" t="n">
        <x:v>7.8538</x:v>
      </x:c>
      <x:c r="N24" s="6" t="n">
        <x:v>-2698.85</x:v>
      </x:c>
      <x:c r="O24" s="6" t="n">
        <x:v>-165524.97</x:v>
      </x:c>
      <x:c r="P24" s="14" t="str">
        <x:v>FX-OP-UDL</x:v>
      </x:c>
      <x:c r="Q24" s="9" t="n">
        <x:f>I24</x:f>
        <x:v>1300000</x:v>
      </x:c>
      <x:c r="R24" s="15" t="n">
        <x:f>L24</x:f>
        <x:v>-168223.82</x:v>
      </x:c>
    </x:row>
    <x:row r="25">
      <x:c r="A25" s="13" t="str">
        <x:v>FW-105288</x:v>
      </x:c>
      <x:c r="B25" s="14" t="str">
        <x:v>L_6129_DE</x:v>
      </x:c>
      <x:c r="C25" s="14" t="str">
        <x:v>L_0100_LU</x:v>
      </x:c>
      <x:c r="D25" s="14" t="str">
        <x:v>Internal</x:v>
      </x:c>
      <x:c r="E25" s="5" t="n">
        <x:v>46258</x:v>
      </x:c>
      <x:c r="F25" s="14" t="str">
        <x:v>Forward</x:v>
      </x:c>
      <x:c r="G25" s="14" t="str">
        <x:v>Buy</x:v>
      </x:c>
      <x:c r="H25" s="14" t="str">
        <x:v>HKD</x:v>
      </x:c>
      <x:c r="I25" s="6" t="n">
        <x:v>2000000</x:v>
      </x:c>
      <x:c r="J25" s="7" t="n">
        <x:v>8.9525</x:v>
      </x:c>
      <x:c r="K25" s="14" t="str">
        <x:v>EUR</x:v>
      </x:c>
      <x:c r="L25" s="6" t="n">
        <x:v>-223401.28</x:v>
      </x:c>
      <x:c r="M25" s="6" t="n">
        <x:v>9.1624</x:v>
      </x:c>
      <x:c r="N25" s="6" t="n">
        <x:v>-5117.87</x:v>
      </x:c>
      <x:c r="O25" s="6" t="n">
        <x:v>-218283.42</x:v>
      </x:c>
      <x:c r="P25" s="14" t="str">
        <x:v>FX-OP-UDL</x:v>
      </x:c>
      <x:c r="Q25" s="9" t="n">
        <x:f>I25</x:f>
        <x:v>2000000</x:v>
      </x:c>
      <x:c r="R25" s="15" t="n">
        <x:f>L25</x:f>
        <x:v>-223401.28</x:v>
      </x:c>
    </x:row>
    <x:row r="26">
      <x:c r="A26" s="13" t="str">
        <x:v>FW-105294</x:v>
      </x:c>
      <x:c r="B26" s="14" t="str">
        <x:v>L_6129_DE</x:v>
      </x:c>
      <x:c r="C26" s="14" t="str">
        <x:v>L_0100_LU</x:v>
      </x:c>
      <x:c r="D26" s="14" t="str">
        <x:v>Internal</x:v>
      </x:c>
      <x:c r="E26" s="5" t="n">
        <x:v>46258</x:v>
      </x:c>
      <x:c r="F26" s="14" t="str">
        <x:v>Forward</x:v>
      </x:c>
      <x:c r="G26" s="14" t="str">
        <x:v>Buy</x:v>
      </x:c>
      <x:c r="H26" s="14" t="str">
        <x:v>USD</x:v>
      </x:c>
      <x:c r="I26" s="6" t="n">
        <x:v>170000</x:v>
      </x:c>
      <x:c r="J26" s="7" t="n">
        <x:v>1.1443</x:v>
      </x:c>
      <x:c r="K26" s="14" t="str">
        <x:v>EUR</x:v>
      </x:c>
      <x:c r="L26" s="6" t="n">
        <x:v>-148562.44</x:v>
      </x:c>
      <x:c r="M26" s="6" t="n">
        <x:v>1.1681</x:v>
      </x:c>
      <x:c r="N26" s="6" t="n">
        <x:v>-3026.95</x:v>
      </x:c>
      <x:c r="O26" s="6" t="n">
        <x:v>-145535.48</x:v>
      </x:c>
      <x:c r="P26" s="14" t="str">
        <x:v>FX-OP-UDL</x:v>
      </x:c>
      <x:c r="Q26" s="9" t="n">
        <x:f>I26</x:f>
        <x:v>170000</x:v>
      </x:c>
      <x:c r="R26" s="15" t="n">
        <x:f>L26</x:f>
        <x:v>-148562.44</x:v>
      </x:c>
    </x:row>
    <x:row r="27">
      <x:c r="A27" s="13" t="str">
        <x:v>NDF-105297</x:v>
      </x:c>
      <x:c r="B27" s="14" t="str">
        <x:v>L_6129_DE</x:v>
      </x:c>
      <x:c r="C27" s="14" t="str">
        <x:v>L_0100_LU</x:v>
      </x:c>
      <x:c r="D27" s="14" t="str">
        <x:v>Internal</x:v>
      </x:c>
      <x:c r="E27" s="5" t="n">
        <x:v>46258</x:v>
      </x:c>
      <x:c r="F27" s="14" t="str">
        <x:v>Non Delivery Forward</x:v>
      </x:c>
      <x:c r="G27" s="14" t="str">
        <x:v>Buy</x:v>
      </x:c>
      <x:c r="H27" s="14" t="str">
        <x:v>INR</x:v>
      </x:c>
      <x:c r="I27" s="6" t="n">
        <x:v>15000000</x:v>
      </x:c>
      <x:c r="J27" s="7" t="n">
        <x:v>109.36</x:v>
      </x:c>
      <x:c r="K27" s="14" t="str">
        <x:v>EUR</x:v>
      </x:c>
      <x:c r="L27" s="6" t="n">
        <x:v>-137161.67</x:v>
      </x:c>
      <x:c r="M27" s="6" t="n">
        <x:v>111.7985</x:v>
      </x:c>
      <x:c r="N27" s="6" t="n">
        <x:v>-2991.71</x:v>
      </x:c>
      <x:c r="O27" s="6" t="n">
        <x:v>-134169.96</x:v>
      </x:c>
      <x:c r="P27" s="14" t="str">
        <x:v>FX-OP-UDL</x:v>
      </x:c>
      <x:c r="Q27" s="9" t="n">
        <x:f>I27</x:f>
        <x:v>15000000</x:v>
      </x:c>
      <x:c r="R27" s="15" t="n">
        <x:f>L27</x:f>
        <x:v>-137161.67</x:v>
      </x:c>
    </x:row>
    <x:row r="28">
      <x:c r="A28" s="13" t="str">
        <x:v>NDF-105300</x:v>
      </x:c>
      <x:c r="B28" s="14" t="str">
        <x:v>L_6129_DE</x:v>
      </x:c>
      <x:c r="C28" s="14" t="str">
        <x:v>L_0100_LU</x:v>
      </x:c>
      <x:c r="D28" s="14" t="str">
        <x:v>Internal</x:v>
      </x:c>
      <x:c r="E28" s="5" t="n">
        <x:v>46258</x:v>
      </x:c>
      <x:c r="F28" s="14" t="str">
        <x:v>Non Delivery Forward</x:v>
      </x:c>
      <x:c r="G28" s="14" t="str">
        <x:v>Buy</x:v>
      </x:c>
      <x:c r="H28" s="14" t="str">
        <x:v>TWD</x:v>
      </x:c>
      <x:c r="I28" s="6" t="n">
        <x:v>10000000</x:v>
      </x:c>
      <x:c r="J28" s="7" t="n">
        <x:v>36.564</x:v>
      </x:c>
      <x:c r="K28" s="14" t="str">
        <x:v>EUR</x:v>
      </x:c>
      <x:c r="L28" s="6" t="n">
        <x:v>-273493.05</x:v>
      </x:c>
      <x:c r="M28" s="6" t="n">
        <x:v>37.25289</x:v>
      </x:c>
      <x:c r="N28" s="6" t="n">
        <x:v>-5057.5</x:v>
      </x:c>
      <x:c r="O28" s="6" t="n">
        <x:v>-268435.55</x:v>
      </x:c>
      <x:c r="P28" s="14" t="str">
        <x:v>FX-OP-UDL</x:v>
      </x:c>
      <x:c r="Q28" s="9" t="n">
        <x:f>I28</x:f>
        <x:v>10000000</x:v>
      </x:c>
      <x:c r="R28" s="15" t="n">
        <x:f>L28</x:f>
        <x:v>-273493.05</x:v>
      </x:c>
    </x:row>
    <x:row r="29">
      <x:c r="A29" s="13" t="str">
        <x:v>FW-105309</x:v>
      </x:c>
      <x:c r="B29" s="14" t="str">
        <x:v>L_6129_DE</x:v>
      </x:c>
      <x:c r="C29" s="14" t="str">
        <x:v>L_0100_LU</x:v>
      </x:c>
      <x:c r="D29" s="14" t="str">
        <x:v>Internal</x:v>
      </x:c>
      <x:c r="E29" s="5" t="n">
        <x:v>46258</x:v>
      </x:c>
      <x:c r="F29" s="14" t="str">
        <x:v>Forward</x:v>
      </x:c>
      <x:c r="G29" s="14" t="str">
        <x:v>Buy</x:v>
      </x:c>
      <x:c r="H29" s="14" t="str">
        <x:v>CNY</x:v>
      </x:c>
      <x:c r="I29" s="6" t="n">
        <x:v>2900000</x:v>
      </x:c>
      <x:c r="J29" s="7" t="n">
        <x:v>7.70405</x:v>
      </x:c>
      <x:c r="K29" s="14" t="str">
        <x:v>EUR</x:v>
      </x:c>
      <x:c r="L29" s="6" t="n">
        <x:v>-376425.39</x:v>
      </x:c>
      <x:c r="M29" s="6" t="n">
        <x:v>7.8538</x:v>
      </x:c>
      <x:c r="N29" s="6" t="n">
        <x:v>-7177.38</x:v>
      </x:c>
      <x:c r="O29" s="6" t="n">
        <x:v>-369248.01</x:v>
      </x:c>
      <x:c r="P29" s="14" t="str">
        <x:v>FX-OP-UDL</x:v>
      </x:c>
      <x:c r="Q29" s="9" t="n">
        <x:f>I29</x:f>
        <x:v>2900000</x:v>
      </x:c>
      <x:c r="R29" s="15" t="n">
        <x:f>L29</x:f>
        <x:v>-376425.39</x:v>
      </x:c>
    </x:row>
    <x:row r="30">
      <x:c r="A30" s="13" t="str">
        <x:v>FW-105318</x:v>
      </x:c>
      <x:c r="B30" s="14" t="str">
        <x:v>L_6129_DE</x:v>
      </x:c>
      <x:c r="C30" s="14" t="str">
        <x:v>L_0100_LU</x:v>
      </x:c>
      <x:c r="D30" s="14" t="str">
        <x:v>Internal</x:v>
      </x:c>
      <x:c r="E30" s="5" t="n">
        <x:v>46258</x:v>
      </x:c>
      <x:c r="F30" s="14" t="str">
        <x:v>Forward</x:v>
      </x:c>
      <x:c r="G30" s="14" t="str">
        <x:v>Sell</x:v>
      </x:c>
      <x:c r="H30" s="14" t="str">
        <x:v>GBP</x:v>
      </x:c>
      <x:c r="I30" s="6" t="n">
        <x:v>-80000</x:v>
      </x:c>
      <x:c r="J30" s="7" t="n">
        <x:v>0.854467</x:v>
      </x:c>
      <x:c r="K30" s="14" t="str">
        <x:v>EUR</x:v>
      </x:c>
      <x:c r="L30" s="6" t="n">
        <x:v>93625.62</x:v>
      </x:c>
      <x:c r="M30" s="6" t="n">
        <x:v>0.85725</x:v>
      </x:c>
      <x:c r="N30" s="6" t="n">
        <x:v>303.95</x:v>
      </x:c>
      <x:c r="O30" s="6" t="n">
        <x:v>93321.67</x:v>
      </x:c>
      <x:c r="P30" s="14" t="str">
        <x:v>FX-OP-UDL</x:v>
      </x:c>
      <x:c r="Q30" s="9" t="n">
        <x:f>I30</x:f>
        <x:v>-80000</x:v>
      </x:c>
      <x:c r="R30" s="15" t="n">
        <x:f>L30</x:f>
        <x:v>93625.62</x:v>
      </x:c>
    </x:row>
    <x:row r="31">
      <x:c r="A31" s="13" t="str">
        <x:v>FW-105353</x:v>
      </x:c>
      <x:c r="B31" s="14" t="str">
        <x:v>L_6129_DE</x:v>
      </x:c>
      <x:c r="C31" s="14" t="str">
        <x:v>L_0100_LU</x:v>
      </x:c>
      <x:c r="D31" s="14" t="str">
        <x:v>Internal</x:v>
      </x:c>
      <x:c r="E31" s="5" t="n">
        <x:v>46258</x:v>
      </x:c>
      <x:c r="F31" s="14" t="str">
        <x:v>Forward</x:v>
      </x:c>
      <x:c r="G31" s="14" t="str">
        <x:v>Sell</x:v>
      </x:c>
      <x:c r="H31" s="14" t="str">
        <x:v>GBP</x:v>
      </x:c>
      <x:c r="I31" s="6" t="n">
        <x:v>-240000</x:v>
      </x:c>
      <x:c r="J31" s="7" t="n">
        <x:v>0.855134</x:v>
      </x:c>
      <x:c r="K31" s="14" t="str">
        <x:v>EUR</x:v>
      </x:c>
      <x:c r="L31" s="6" t="n">
        <x:v>280657.77</x:v>
      </x:c>
      <x:c r="M31" s="6" t="n">
        <x:v>0.85725</x:v>
      </x:c>
      <x:c r="N31" s="6" t="n">
        <x:v>692.76</x:v>
      </x:c>
      <x:c r="O31" s="6" t="n">
        <x:v>279965</x:v>
      </x:c>
      <x:c r="P31" s="14" t="str">
        <x:v>FX-OP-UDL</x:v>
      </x:c>
      <x:c r="Q31" s="9" t="n">
        <x:f>I31</x:f>
        <x:v>-240000</x:v>
      </x:c>
      <x:c r="R31" s="15" t="n">
        <x:f>L31</x:f>
        <x:v>280657.77</x:v>
      </x:c>
    </x:row>
    <x:row r="32">
      <x:c r="A32" s="13" t="str">
        <x:v>FW-105356</x:v>
      </x:c>
      <x:c r="B32" s="14" t="str">
        <x:v>L_6129_DE</x:v>
      </x:c>
      <x:c r="C32" s="14" t="str">
        <x:v>L_0100_LU</x:v>
      </x:c>
      <x:c r="D32" s="14" t="str">
        <x:v>Internal</x:v>
      </x:c>
      <x:c r="E32" s="5" t="n">
        <x:v>46258</x:v>
      </x:c>
      <x:c r="F32" s="14" t="str">
        <x:v>Forward</x:v>
      </x:c>
      <x:c r="G32" s="14" t="str">
        <x:v>Buy</x:v>
      </x:c>
      <x:c r="H32" s="14" t="str">
        <x:v>HKD</x:v>
      </x:c>
      <x:c r="I32" s="6" t="n">
        <x:v>1600000</x:v>
      </x:c>
      <x:c r="J32" s="7" t="n">
        <x:v>8.94619</x:v>
      </x:c>
      <x:c r="K32" s="14" t="str">
        <x:v>EUR</x:v>
      </x:c>
      <x:c r="L32" s="6" t="n">
        <x:v>-178847.08</x:v>
      </x:c>
      <x:c r="M32" s="6" t="n">
        <x:v>9.1624</x:v>
      </x:c>
      <x:c r="N32" s="6" t="n">
        <x:v>-4220.35</x:v>
      </x:c>
      <x:c r="O32" s="6" t="n">
        <x:v>-174626.74</x:v>
      </x:c>
      <x:c r="P32" s="14" t="str">
        <x:v>FX-OP-UDL</x:v>
      </x:c>
      <x:c r="Q32" s="9" t="n">
        <x:f>I32</x:f>
        <x:v>1600000</x:v>
      </x:c>
      <x:c r="R32" s="15" t="n">
        <x:f>L32</x:f>
        <x:v>-178847.08</x:v>
      </x:c>
    </x:row>
    <x:row r="33">
      <x:c r="A33" s="13" t="str">
        <x:v>FW-105359</x:v>
      </x:c>
      <x:c r="B33" s="14" t="str">
        <x:v>L_6129_DE</x:v>
      </x:c>
      <x:c r="C33" s="14" t="str">
        <x:v>L_0100_LU</x:v>
      </x:c>
      <x:c r="D33" s="14" t="str">
        <x:v>Internal</x:v>
      </x:c>
      <x:c r="E33" s="5" t="n">
        <x:v>46258</x:v>
      </x:c>
      <x:c r="F33" s="14" t="str">
        <x:v>Forward</x:v>
      </x:c>
      <x:c r="G33" s="14" t="str">
        <x:v>Buy</x:v>
      </x:c>
      <x:c r="H33" s="14" t="str">
        <x:v>USD</x:v>
      </x:c>
      <x:c r="I33" s="6" t="n">
        <x:v>200000</x:v>
      </x:c>
      <x:c r="J33" s="7" t="n">
        <x:v>1.142758</x:v>
      </x:c>
      <x:c r="K33" s="14" t="str">
        <x:v>EUR</x:v>
      </x:c>
      <x:c r="L33" s="6" t="n">
        <x:v>-175015.18</x:v>
      </x:c>
      <x:c r="M33" s="6" t="n">
        <x:v>1.1681</x:v>
      </x:c>
      <x:c r="N33" s="6" t="n">
        <x:v>-3796.96</x:v>
      </x:c>
      <x:c r="O33" s="6" t="n">
        <x:v>-171218.22</x:v>
      </x:c>
      <x:c r="P33" s="14" t="str">
        <x:v>FX-OP-UDL</x:v>
      </x:c>
      <x:c r="Q33" s="9" t="n">
        <x:f>I33</x:f>
        <x:v>200000</x:v>
      </x:c>
      <x:c r="R33" s="15" t="n">
        <x:f>L33</x:f>
        <x:v>-175015.18</x:v>
      </x:c>
    </x:row>
    <x:row r="34">
      <x:c r="A34" s="13" t="str">
        <x:v>FW-105361</x:v>
      </x:c>
      <x:c r="B34" s="14" t="str">
        <x:v>L_6129_DE</x:v>
      </x:c>
      <x:c r="C34" s="14" t="str">
        <x:v>L_0100_LU</x:v>
      </x:c>
      <x:c r="D34" s="14" t="str">
        <x:v>Internal</x:v>
      </x:c>
      <x:c r="E34" s="5" t="n">
        <x:v>46258</x:v>
      </x:c>
      <x:c r="F34" s="14" t="str">
        <x:v>Forward</x:v>
      </x:c>
      <x:c r="G34" s="14" t="str">
        <x:v>Buy</x:v>
      </x:c>
      <x:c r="H34" s="14" t="str">
        <x:v>CNY</x:v>
      </x:c>
      <x:c r="I34" s="6" t="n">
        <x:v>1300000</x:v>
      </x:c>
      <x:c r="J34" s="7" t="n">
        <x:v>7.74765</x:v>
      </x:c>
      <x:c r="K34" s="14" t="str">
        <x:v>EUR</x:v>
      </x:c>
      <x:c r="L34" s="6" t="n">
        <x:v>-167792.81</x:v>
      </x:c>
      <x:c r="M34" s="6" t="n">
        <x:v>7.8538</x:v>
      </x:c>
      <x:c r="N34" s="6" t="n">
        <x:v>-2267.85</x:v>
      </x:c>
      <x:c r="O34" s="6" t="n">
        <x:v>-165524.97</x:v>
      </x:c>
      <x:c r="P34" s="14" t="str">
        <x:v>FX-OP-UDL</x:v>
      </x:c>
      <x:c r="Q34" s="9" t="n">
        <x:f>I34</x:f>
        <x:v>1300000</x:v>
      </x:c>
      <x:c r="R34" s="15" t="n">
        <x:f>L34</x:f>
        <x:v>-167792.81</x:v>
      </x:c>
    </x:row>
    <x:row r="35">
      <x:c r="A35" s="13" t="str">
        <x:v>FW-105376</x:v>
      </x:c>
      <x:c r="B35" s="14" t="str">
        <x:v>L_6129_DE</x:v>
      </x:c>
      <x:c r="C35" s="14" t="str">
        <x:v>L_0100_LU</x:v>
      </x:c>
      <x:c r="D35" s="14" t="str">
        <x:v>Internal</x:v>
      </x:c>
      <x:c r="E35" s="5" t="n">
        <x:v>46258</x:v>
      </x:c>
      <x:c r="F35" s="14" t="str">
        <x:v>Forward</x:v>
      </x:c>
      <x:c r="G35" s="14" t="str">
        <x:v>Sell</x:v>
      </x:c>
      <x:c r="H35" s="14" t="str">
        <x:v>CZK</x:v>
      </x:c>
      <x:c r="I35" s="6" t="n">
        <x:v>-2000000</x:v>
      </x:c>
      <x:c r="J35" s="7" t="n">
        <x:v>24.246</x:v>
      </x:c>
      <x:c r="K35" s="14" t="str">
        <x:v>EUR</x:v>
      </x:c>
      <x:c r="L35" s="6" t="n">
        <x:v>82487.83</x:v>
      </x:c>
      <x:c r="M35" s="6" t="n">
        <x:v>24.153</x:v>
      </x:c>
      <x:c r="N35" s="6" t="n">
        <x:v>-317.62</x:v>
      </x:c>
      <x:c r="O35" s="6" t="n">
        <x:v>82805.45</x:v>
      </x:c>
      <x:c r="P35" s="14" t="str">
        <x:v>FX-OP-UDL</x:v>
      </x:c>
      <x:c r="Q35" s="9" t="n">
        <x:f>I35</x:f>
        <x:v>-2000000</x:v>
      </x:c>
      <x:c r="R35" s="15" t="n">
        <x:f>L35</x:f>
        <x:v>82487.83</x:v>
      </x:c>
    </x:row>
    <x:row r="36">
      <x:c r="A36" s="13" t="str">
        <x:v>FW-105378</x:v>
      </x:c>
      <x:c r="B36" s="14" t="str">
        <x:v>L_6129_DE</x:v>
      </x:c>
      <x:c r="C36" s="14" t="str">
        <x:v>L_0100_LU</x:v>
      </x:c>
      <x:c r="D36" s="14" t="str">
        <x:v>Internal</x:v>
      </x:c>
      <x:c r="E36" s="5" t="n">
        <x:v>46258</x:v>
      </x:c>
      <x:c r="F36" s="14" t="str">
        <x:v>Forward</x:v>
      </x:c>
      <x:c r="G36" s="14" t="str">
        <x:v>Buy</x:v>
      </x:c>
      <x:c r="H36" s="14" t="str">
        <x:v>CNY</x:v>
      </x:c>
      <x:c r="I36" s="6" t="n">
        <x:v>1000000</x:v>
      </x:c>
      <x:c r="J36" s="7" t="n">
        <x:v>7.7268</x:v>
      </x:c>
      <x:c r="K36" s="14" t="str">
        <x:v>EUR</x:v>
      </x:c>
      <x:c r="L36" s="6" t="n">
        <x:v>-129419.68</x:v>
      </x:c>
      <x:c r="M36" s="6" t="n">
        <x:v>7.8538</x:v>
      </x:c>
      <x:c r="N36" s="6" t="n">
        <x:v>-2092.78</x:v>
      </x:c>
      <x:c r="O36" s="6" t="n">
        <x:v>-127326.9</x:v>
      </x:c>
      <x:c r="P36" s="14" t="str">
        <x:v>FX-OP-UDL</x:v>
      </x:c>
      <x:c r="Q36" s="9" t="n">
        <x:f>I36</x:f>
        <x:v>1000000</x:v>
      </x:c>
      <x:c r="R36" s="15" t="n">
        <x:f>L36</x:f>
        <x:v>-129419.68</x:v>
      </x:c>
    </x:row>
    <x:row r="37">
      <x:c r="A37" s="13" t="str">
        <x:v>FW-105409</x:v>
      </x:c>
      <x:c r="B37" s="14" t="str">
        <x:v>L_6129_DE</x:v>
      </x:c>
      <x:c r="C37" s="14" t="str">
        <x:v>L_0100_LU</x:v>
      </x:c>
      <x:c r="D37" s="14" t="str">
        <x:v>Internal</x:v>
      </x:c>
      <x:c r="E37" s="5" t="n">
        <x:v>46258</x:v>
      </x:c>
      <x:c r="F37" s="14" t="str">
        <x:v>Forward</x:v>
      </x:c>
      <x:c r="G37" s="14" t="str">
        <x:v>Buy</x:v>
      </x:c>
      <x:c r="H37" s="14" t="str">
        <x:v>USD</x:v>
      </x:c>
      <x:c r="I37" s="6" t="n">
        <x:v>110000</x:v>
      </x:c>
      <x:c r="J37" s="7" t="n">
        <x:v>1.14626</x:v>
      </x:c>
      <x:c r="K37" s="14" t="str">
        <x:v>EUR</x:v>
      </x:c>
      <x:c r="L37" s="6" t="n">
        <x:v>-95964.27</x:v>
      </x:c>
      <x:c r="M37" s="6" t="n">
        <x:v>1.1681</x:v>
      </x:c>
      <x:c r="N37" s="6" t="n">
        <x:v>-1794.25</x:v>
      </x:c>
      <x:c r="O37" s="6" t="n">
        <x:v>-94170.02</x:v>
      </x:c>
      <x:c r="P37" s="14" t="str">
        <x:v>FX-OP-UDL</x:v>
      </x:c>
      <x:c r="Q37" s="9" t="n">
        <x:f>I37</x:f>
        <x:v>110000</x:v>
      </x:c>
      <x:c r="R37" s="15" t="n">
        <x:f>L37</x:f>
        <x:v>-95964.27</x:v>
      </x:c>
    </x:row>
    <x:row r="38">
      <x:c r="A38" s="13" t="str">
        <x:v>FW-105418</x:v>
      </x:c>
      <x:c r="B38" s="14" t="str">
        <x:v>L_6129_DE</x:v>
      </x:c>
      <x:c r="C38" s="14" t="str">
        <x:v>L_0100_LU</x:v>
      </x:c>
      <x:c r="D38" s="14" t="str">
        <x:v>Internal</x:v>
      </x:c>
      <x:c r="E38" s="5" t="n">
        <x:v>46258</x:v>
      </x:c>
      <x:c r="F38" s="14" t="str">
        <x:v>Forward</x:v>
      </x:c>
      <x:c r="G38" s="14" t="str">
        <x:v>Sell</x:v>
      </x:c>
      <x:c r="H38" s="14" t="str">
        <x:v>SGD</x:v>
      </x:c>
      <x:c r="I38" s="6" t="n">
        <x:v>-150000</x:v>
      </x:c>
      <x:c r="J38" s="7" t="n">
        <x:v>1.47762</x:v>
      </x:c>
      <x:c r="K38" s="14" t="str">
        <x:v>EUR</x:v>
      </x:c>
      <x:c r="L38" s="6" t="n">
        <x:v>101514.6</x:v>
      </x:c>
      <x:c r="M38" s="6" t="n">
        <x:v>1.486</x:v>
      </x:c>
      <x:c r="N38" s="6" t="n">
        <x:v>572.47</x:v>
      </x:c>
      <x:c r="O38" s="6" t="n">
        <x:v>100942.13</x:v>
      </x:c>
      <x:c r="P38" s="14" t="str">
        <x:v>FX-OP-UDL</x:v>
      </x:c>
      <x:c r="Q38" s="9" t="n">
        <x:f>I38</x:f>
        <x:v>-150000</x:v>
      </x:c>
      <x:c r="R38" s="15" t="n">
        <x:f>L38</x:f>
        <x:v>101514.6</x:v>
      </x:c>
    </x:row>
    <x:row r="39">
      <x:c r="A39" s="13" t="str">
        <x:v>FW-105420</x:v>
      </x:c>
      <x:c r="B39" s="14" t="str">
        <x:v>L_6129_DE</x:v>
      </x:c>
      <x:c r="C39" s="14" t="str">
        <x:v>L_0100_LU</x:v>
      </x:c>
      <x:c r="D39" s="14" t="str">
        <x:v>Internal</x:v>
      </x:c>
      <x:c r="E39" s="5" t="n">
        <x:v>46258</x:v>
      </x:c>
      <x:c r="F39" s="14" t="str">
        <x:v>Forward</x:v>
      </x:c>
      <x:c r="G39" s="14" t="str">
        <x:v>Buy</x:v>
      </x:c>
      <x:c r="H39" s="14" t="str">
        <x:v>CNY</x:v>
      </x:c>
      <x:c r="I39" s="6" t="n">
        <x:v>2000000</x:v>
      </x:c>
      <x:c r="J39" s="7" t="n">
        <x:v>7.73037</x:v>
      </x:c>
      <x:c r="K39" s="14" t="str">
        <x:v>EUR</x:v>
      </x:c>
      <x:c r="L39" s="6" t="n">
        <x:v>-258719.83</x:v>
      </x:c>
      <x:c r="M39" s="6" t="n">
        <x:v>7.8538</x:v>
      </x:c>
      <x:c r="N39" s="6" t="n">
        <x:v>-4066.03</x:v>
      </x:c>
      <x:c r="O39" s="6" t="n">
        <x:v>-254653.8</x:v>
      </x:c>
      <x:c r="P39" s="14" t="str">
        <x:v>FX-OP-UDL</x:v>
      </x:c>
      <x:c r="Q39" s="9" t="n">
        <x:f>I39</x:f>
        <x:v>2000000</x:v>
      </x:c>
      <x:c r="R39" s="15" t="n">
        <x:f>L39</x:f>
        <x:v>-258719.83</x:v>
      </x:c>
    </x:row>
    <x:row r="40">
      <x:c r="A40" s="13" t="str">
        <x:v>FW-105422</x:v>
      </x:c>
      <x:c r="B40" s="14" t="str">
        <x:v>L_6129_DE</x:v>
      </x:c>
      <x:c r="C40" s="14" t="str">
        <x:v>L_0100_LU</x:v>
      </x:c>
      <x:c r="D40" s="14" t="str">
        <x:v>Internal</x:v>
      </x:c>
      <x:c r="E40" s="5" t="n">
        <x:v>46258</x:v>
      </x:c>
      <x:c r="F40" s="14" t="str">
        <x:v>Forward</x:v>
      </x:c>
      <x:c r="G40" s="14" t="str">
        <x:v>Buy</x:v>
      </x:c>
      <x:c r="H40" s="14" t="str">
        <x:v>HKD</x:v>
      </x:c>
      <x:c r="I40" s="6" t="n">
        <x:v>1300000</x:v>
      </x:c>
      <x:c r="J40" s="7" t="n">
        <x:v>8.95994</x:v>
      </x:c>
      <x:c r="K40" s="14" t="str">
        <x:v>EUR</x:v>
      </x:c>
      <x:c r="L40" s="6" t="n">
        <x:v>-145090.26</x:v>
      </x:c>
      <x:c r="M40" s="6" t="n">
        <x:v>9.1624</x:v>
      </x:c>
      <x:c r="N40" s="6" t="n">
        <x:v>-3206.03</x:v>
      </x:c>
      <x:c r="O40" s="6" t="n">
        <x:v>-141884.22</x:v>
      </x:c>
      <x:c r="P40" s="14" t="str">
        <x:v>FX-OP-UDL</x:v>
      </x:c>
      <x:c r="Q40" s="9" t="n">
        <x:f>I40</x:f>
        <x:v>1300000</x:v>
      </x:c>
      <x:c r="R40" s="15" t="n">
        <x:f>L40</x:f>
        <x:v>-145090.26</x:v>
      </x:c>
    </x:row>
    <x:row r="41">
      <x:c r="A41" s="13" t="str">
        <x:v>FW-105445</x:v>
      </x:c>
      <x:c r="B41" s="14" t="str">
        <x:v>L_6129_DE</x:v>
      </x:c>
      <x:c r="C41" s="14" t="str">
        <x:v>L_0100_LU</x:v>
      </x:c>
      <x:c r="D41" s="14" t="str">
        <x:v>Internal</x:v>
      </x:c>
      <x:c r="E41" s="5" t="n">
        <x:v>46258</x:v>
      </x:c>
      <x:c r="F41" s="14" t="str">
        <x:v>Forward</x:v>
      </x:c>
      <x:c r="G41" s="14" t="str">
        <x:v>Buy</x:v>
      </x:c>
      <x:c r="H41" s="14" t="str">
        <x:v>CNY</x:v>
      </x:c>
      <x:c r="I41" s="6" t="n">
        <x:v>2600000</x:v>
      </x:c>
      <x:c r="J41" s="7" t="n">
        <x:v>7.71601</x:v>
      </x:c>
      <x:c r="K41" s="14" t="str">
        <x:v>EUR</x:v>
      </x:c>
      <x:c r="L41" s="6" t="n">
        <x:v>-336961.72</x:v>
      </x:c>
      <x:c r="M41" s="6" t="n">
        <x:v>7.8538</x:v>
      </x:c>
      <x:c r="N41" s="6" t="n">
        <x:v>-5911.78</x:v>
      </x:c>
      <x:c r="O41" s="6" t="n">
        <x:v>-331049.94</x:v>
      </x:c>
      <x:c r="P41" s="14" t="str">
        <x:v>FX-OP-UDL</x:v>
      </x:c>
      <x:c r="Q41" s="9" t="n">
        <x:f>I41</x:f>
        <x:v>2600000</x:v>
      </x:c>
      <x:c r="R41" s="15" t="n">
        <x:f>L41</x:f>
        <x:v>-336961.72</x:v>
      </x:c>
    </x:row>
    <x:row r="42">
      <x:c r="A42" s="13" t="str">
        <x:v>FW-105452</x:v>
      </x:c>
      <x:c r="B42" s="14" t="str">
        <x:v>L_6129_DE</x:v>
      </x:c>
      <x:c r="C42" s="14" t="str">
        <x:v>L_0100_LU</x:v>
      </x:c>
      <x:c r="D42" s="14" t="str">
        <x:v>Internal</x:v>
      </x:c>
      <x:c r="E42" s="5" t="n">
        <x:v>46258</x:v>
      </x:c>
      <x:c r="F42" s="14" t="str">
        <x:v>Forward</x:v>
      </x:c>
      <x:c r="G42" s="14" t="str">
        <x:v>Buy</x:v>
      </x:c>
      <x:c r="H42" s="14" t="str">
        <x:v>HKD</x:v>
      </x:c>
      <x:c r="I42" s="6" t="n">
        <x:v>1200000</x:v>
      </x:c>
      <x:c r="J42" s="7" t="n">
        <x:v>8.95368</x:v>
      </x:c>
      <x:c r="K42" s="14" t="str">
        <x:v>EUR</x:v>
      </x:c>
      <x:c r="L42" s="6" t="n">
        <x:v>-134023.11</x:v>
      </x:c>
      <x:c r="M42" s="6" t="n">
        <x:v>9.1624</x:v>
      </x:c>
      <x:c r="N42" s="6" t="n">
        <x:v>-3053.05</x:v>
      </x:c>
      <x:c r="O42" s="6" t="n">
        <x:v>-130970.05</x:v>
      </x:c>
      <x:c r="P42" s="14" t="str">
        <x:v>FX-OP-UDL</x:v>
      </x:c>
      <x:c r="Q42" s="9" t="n">
        <x:f>I42</x:f>
        <x:v>1200000</x:v>
      </x:c>
      <x:c r="R42" s="15" t="n">
        <x:f>L42</x:f>
        <x:v>-134023.11</x:v>
      </x:c>
    </x:row>
    <x:row r="43">
      <x:c r="A43" s="13" t="str">
        <x:v>FW-105479</x:v>
      </x:c>
      <x:c r="B43" s="14" t="str">
        <x:v>L_6129_DE</x:v>
      </x:c>
      <x:c r="C43" s="14" t="str">
        <x:v>L_0100_LU</x:v>
      </x:c>
      <x:c r="D43" s="14" t="str">
        <x:v>Internal</x:v>
      </x:c>
      <x:c r="E43" s="5" t="n">
        <x:v>46258</x:v>
      </x:c>
      <x:c r="F43" s="14" t="str">
        <x:v>Forward</x:v>
      </x:c>
      <x:c r="G43" s="14" t="str">
        <x:v>Buy</x:v>
      </x:c>
      <x:c r="H43" s="14" t="str">
        <x:v>THB</x:v>
      </x:c>
      <x:c r="I43" s="6" t="n">
        <x:v>3000000</x:v>
      </x:c>
      <x:c r="J43" s="7" t="n">
        <x:v>38.307</x:v>
      </x:c>
      <x:c r="K43" s="14" t="str">
        <x:v>EUR</x:v>
      </x:c>
      <x:c r="L43" s="6" t="n">
        <x:v>-78314.67</x:v>
      </x:c>
      <x:c r="M43" s="6" t="n">
        <x:v>38.448</x:v>
      </x:c>
      <x:c r="N43" s="6" t="n">
        <x:v>-287.2</x:v>
      </x:c>
      <x:c r="O43" s="6" t="n">
        <x:v>-78027.47</x:v>
      </x:c>
      <x:c r="P43" s="14" t="str">
        <x:v>FX-OP-UDL</x:v>
      </x:c>
      <x:c r="Q43" s="9" t="n">
        <x:f>I43</x:f>
        <x:v>3000000</x:v>
      </x:c>
      <x:c r="R43" s="15" t="n">
        <x:f>L43</x:f>
        <x:v>-78314.67</x:v>
      </x:c>
    </x:row>
    <x:row r="44">
      <x:c r="A44" s="13" t="str">
        <x:v>FW-105483</x:v>
      </x:c>
      <x:c r="B44" s="14" t="str">
        <x:v>L_6129_DE</x:v>
      </x:c>
      <x:c r="C44" s="14" t="str">
        <x:v>L_0100_LU</x:v>
      </x:c>
      <x:c r="D44" s="14" t="str">
        <x:v>Internal</x:v>
      </x:c>
      <x:c r="E44" s="5" t="n">
        <x:v>46258</x:v>
      </x:c>
      <x:c r="F44" s="14" t="str">
        <x:v>Forward</x:v>
      </x:c>
      <x:c r="G44" s="14" t="str">
        <x:v>Buy</x:v>
      </x:c>
      <x:c r="H44" s="14" t="str">
        <x:v>CNY</x:v>
      </x:c>
      <x:c r="I44" s="6" t="n">
        <x:v>2200000</x:v>
      </x:c>
      <x:c r="J44" s="7" t="n">
        <x:v>7.7089</x:v>
      </x:c>
      <x:c r="K44" s="14" t="str">
        <x:v>EUR</x:v>
      </x:c>
      <x:c r="L44" s="6" t="n">
        <x:v>-285384.43</x:v>
      </x:c>
      <x:c r="M44" s="6" t="n">
        <x:v>7.8538</x:v>
      </x:c>
      <x:c r="N44" s="6" t="n">
        <x:v>-5265.25</x:v>
      </x:c>
      <x:c r="O44" s="6" t="n">
        <x:v>-280119.18</x:v>
      </x:c>
      <x:c r="P44" s="14" t="str">
        <x:v>FX-OP-UDL</x:v>
      </x:c>
      <x:c r="Q44" s="9" t="n">
        <x:f>I44</x:f>
        <x:v>2200000</x:v>
      </x:c>
      <x:c r="R44" s="15" t="n">
        <x:f>L44</x:f>
        <x:v>-285384.43</x:v>
      </x:c>
    </x:row>
    <x:row r="45">
      <x:c r="A45" s="13" t="str">
        <x:v>FW-105488</x:v>
      </x:c>
      <x:c r="B45" s="14" t="str">
        <x:v>L_6129_DE</x:v>
      </x:c>
      <x:c r="C45" s="14" t="str">
        <x:v>L_0100_LU</x:v>
      </x:c>
      <x:c r="D45" s="14" t="str">
        <x:v>Internal</x:v>
      </x:c>
      <x:c r="E45" s="5" t="n">
        <x:v>46258</x:v>
      </x:c>
      <x:c r="F45" s="14" t="str">
        <x:v>Forward</x:v>
      </x:c>
      <x:c r="G45" s="14" t="str">
        <x:v>Sell</x:v>
      </x:c>
      <x:c r="H45" s="14" t="str">
        <x:v>GBP</x:v>
      </x:c>
      <x:c r="I45" s="6" t="n">
        <x:v>-100000</x:v>
      </x:c>
      <x:c r="J45" s="7" t="n">
        <x:v>0.8527</x:v>
      </x:c>
      <x:c r="K45" s="14" t="str">
        <x:v>EUR</x:v>
      </x:c>
      <x:c r="L45" s="6" t="n">
        <x:v>117274.54</x:v>
      </x:c>
      <x:c r="M45" s="6" t="n">
        <x:v>0.85725</x:v>
      </x:c>
      <x:c r="N45" s="6" t="n">
        <x:v>622.45</x:v>
      </x:c>
      <x:c r="O45" s="6" t="n">
        <x:v>116652.09</x:v>
      </x:c>
      <x:c r="P45" s="14" t="str">
        <x:v>FX-OP-UDL</x:v>
      </x:c>
      <x:c r="Q45" s="9" t="n">
        <x:f>I45</x:f>
        <x:v>-100000</x:v>
      </x:c>
      <x:c r="R45" s="15" t="n">
        <x:f>L45</x:f>
        <x:v>117274.54</x:v>
      </x:c>
    </x:row>
    <x:row r="46">
      <x:c r="A46" s="13" t="str">
        <x:v>FW-105533</x:v>
      </x:c>
      <x:c r="B46" s="14" t="str">
        <x:v>L_6129_DE</x:v>
      </x:c>
      <x:c r="C46" s="14" t="str">
        <x:v>L_0100_LU</x:v>
      </x:c>
      <x:c r="D46" s="14" t="str">
        <x:v>Internal</x:v>
      </x:c>
      <x:c r="E46" s="5" t="n">
        <x:v>46258</x:v>
      </x:c>
      <x:c r="F46" s="14" t="str">
        <x:v>Forward</x:v>
      </x:c>
      <x:c r="G46" s="14" t="str">
        <x:v>Buy</x:v>
      </x:c>
      <x:c r="H46" s="14" t="str">
        <x:v>CNY</x:v>
      </x:c>
      <x:c r="I46" s="6" t="n">
        <x:v>800000</x:v>
      </x:c>
      <x:c r="J46" s="7" t="n">
        <x:v>7.7066</x:v>
      </x:c>
      <x:c r="K46" s="14" t="str">
        <x:v>EUR</x:v>
      </x:c>
      <x:c r="L46" s="6" t="n">
        <x:v>-103807.13</x:v>
      </x:c>
      <x:c r="M46" s="6" t="n">
        <x:v>7.8538</x:v>
      </x:c>
      <x:c r="N46" s="6" t="n">
        <x:v>-1945.61</x:v>
      </x:c>
      <x:c r="O46" s="6" t="n">
        <x:v>-101861.52</x:v>
      </x:c>
      <x:c r="P46" s="14" t="str">
        <x:v>FX-OP-UDL</x:v>
      </x:c>
      <x:c r="Q46" s="9" t="n">
        <x:f>I46</x:f>
        <x:v>800000</x:v>
      </x:c>
      <x:c r="R46" s="15" t="n">
        <x:f>L46</x:f>
        <x:v>-103807.13</x:v>
      </x:c>
    </x:row>
    <x:row r="47">
      <x:c r="A47" s="13" t="str">
        <x:v>FW-105536</x:v>
      </x:c>
      <x:c r="B47" s="14" t="str">
        <x:v>L_6129_DE</x:v>
      </x:c>
      <x:c r="C47" s="14" t="str">
        <x:v>L_0100_LU</x:v>
      </x:c>
      <x:c r="D47" s="14" t="str">
        <x:v>Internal</x:v>
      </x:c>
      <x:c r="E47" s="5" t="n">
        <x:v>46258</x:v>
      </x:c>
      <x:c r="F47" s="14" t="str">
        <x:v>Forward</x:v>
      </x:c>
      <x:c r="G47" s="14" t="str">
        <x:v>Sell</x:v>
      </x:c>
      <x:c r="H47" s="14" t="str">
        <x:v>GBP</x:v>
      </x:c>
      <x:c r="I47" s="6" t="n">
        <x:v>-100000</x:v>
      </x:c>
      <x:c r="J47" s="7" t="n">
        <x:v>0.8553</x:v>
      </x:c>
      <x:c r="K47" s="14" t="str">
        <x:v>EUR</x:v>
      </x:c>
      <x:c r="L47" s="6" t="n">
        <x:v>116918.04</x:v>
      </x:c>
      <x:c r="M47" s="6" t="n">
        <x:v>0.85725</x:v>
      </x:c>
      <x:c r="N47" s="6" t="n">
        <x:v>265.96</x:v>
      </x:c>
      <x:c r="O47" s="6" t="n">
        <x:v>116652.09</x:v>
      </x:c>
      <x:c r="P47" s="14" t="str">
        <x:v>FX-OP-UDL</x:v>
      </x:c>
      <x:c r="Q47" s="9" t="n">
        <x:f>I47</x:f>
        <x:v>-100000</x:v>
      </x:c>
      <x:c r="R47" s="15" t="n">
        <x:f>L47</x:f>
        <x:v>116918.04</x:v>
      </x:c>
    </x:row>
    <x:row r="48">
      <x:c r="A48" s="13" t="str">
        <x:v>NDF-105539</x:v>
      </x:c>
      <x:c r="B48" s="14" t="str">
        <x:v>L_6129_DE</x:v>
      </x:c>
      <x:c r="C48" s="14" t="str">
        <x:v>L_0100_LU</x:v>
      </x:c>
      <x:c r="D48" s="14" t="str">
        <x:v>Internal</x:v>
      </x:c>
      <x:c r="E48" s="5" t="n">
        <x:v>46258</x:v>
      </x:c>
      <x:c r="F48" s="14" t="str">
        <x:v>Non Delivery Forward</x:v>
      </x:c>
      <x:c r="G48" s="14" t="str">
        <x:v>Buy</x:v>
      </x:c>
      <x:c r="H48" s="14" t="str">
        <x:v>INR</x:v>
      </x:c>
      <x:c r="I48" s="6" t="n">
        <x:v>20000000</x:v>
      </x:c>
      <x:c r="J48" s="7" t="n">
        <x:v>110.1</x:v>
      </x:c>
      <x:c r="K48" s="14" t="str">
        <x:v>EUR</x:v>
      </x:c>
      <x:c r="L48" s="6" t="n">
        <x:v>-181653.04</x:v>
      </x:c>
      <x:c r="M48" s="6" t="n">
        <x:v>111.7985</x:v>
      </x:c>
      <x:c r="N48" s="6" t="n">
        <x:v>-2759.77</x:v>
      </x:c>
      <x:c r="O48" s="6" t="n">
        <x:v>-178893.28</x:v>
      </x:c>
      <x:c r="P48" s="14" t="str">
        <x:v>FX-OP-UDL</x:v>
      </x:c>
      <x:c r="Q48" s="9" t="n">
        <x:f>I48</x:f>
        <x:v>20000000</x:v>
      </x:c>
      <x:c r="R48" s="15" t="n">
        <x:f>L48</x:f>
        <x:v>-181653.04</x:v>
      </x:c>
    </x:row>
    <x:row r="49">
      <x:c r="A49" s="13" t="str">
        <x:v>NDF-105542</x:v>
      </x:c>
      <x:c r="B49" s="14" t="str">
        <x:v>L_6129_DE</x:v>
      </x:c>
      <x:c r="C49" s="14" t="str">
        <x:v>L_0100_LU</x:v>
      </x:c>
      <x:c r="D49" s="14" t="str">
        <x:v>Internal</x:v>
      </x:c>
      <x:c r="E49" s="5" t="n">
        <x:v>46258</x:v>
      </x:c>
      <x:c r="F49" s="14" t="str">
        <x:v>Non Delivery Forward</x:v>
      </x:c>
      <x:c r="G49" s="14" t="str">
        <x:v>Buy</x:v>
      </x:c>
      <x:c r="H49" s="14" t="str">
        <x:v>TWD</x:v>
      </x:c>
      <x:c r="I49" s="6" t="n">
        <x:v>6000000</x:v>
      </x:c>
      <x:c r="J49" s="7" t="n">
        <x:v>36.803</x:v>
      </x:c>
      <x:c r="K49" s="14" t="str">
        <x:v>EUR</x:v>
      </x:c>
      <x:c r="L49" s="6" t="n">
        <x:v>-163030.19</x:v>
      </x:c>
      <x:c r="M49" s="6" t="n">
        <x:v>37.25289</x:v>
      </x:c>
      <x:c r="N49" s="6" t="n">
        <x:v>-1968.86</x:v>
      </x:c>
      <x:c r="O49" s="6" t="n">
        <x:v>-161061.33</x:v>
      </x:c>
      <x:c r="P49" s="14" t="str">
        <x:v>FX-OP-UDL</x:v>
      </x:c>
      <x:c r="Q49" s="9" t="n">
        <x:f>I49</x:f>
        <x:v>6000000</x:v>
      </x:c>
      <x:c r="R49" s="15" t="n">
        <x:f>L49</x:f>
        <x:v>-163030.19</x:v>
      </x:c>
    </x:row>
    <x:row r="50">
      <x:c r="A50" s="13" t="str">
        <x:v>FW-105551</x:v>
      </x:c>
      <x:c r="B50" s="14" t="str">
        <x:v>L_6129_DE</x:v>
      </x:c>
      <x:c r="C50" s="14" t="str">
        <x:v>L_0100_LU</x:v>
      </x:c>
      <x:c r="D50" s="14" t="str">
        <x:v>Internal</x:v>
      </x:c>
      <x:c r="E50" s="5" t="n">
        <x:v>46258</x:v>
      </x:c>
      <x:c r="F50" s="14" t="str">
        <x:v>Forward</x:v>
      </x:c>
      <x:c r="G50" s="14" t="str">
        <x:v>Buy</x:v>
      </x:c>
      <x:c r="H50" s="14" t="str">
        <x:v>USD</x:v>
      </x:c>
      <x:c r="I50" s="6" t="n">
        <x:v>250000</x:v>
      </x:c>
      <x:c r="J50" s="7" t="n">
        <x:v>1.143316</x:v>
      </x:c>
      <x:c r="K50" s="14" t="str">
        <x:v>EUR</x:v>
      </x:c>
      <x:c r="L50" s="6" t="n">
        <x:v>-218662.21</x:v>
      </x:c>
      <x:c r="M50" s="6" t="n">
        <x:v>1.1681</x:v>
      </x:c>
      <x:c r="N50" s="6" t="n">
        <x:v>-4639.44</x:v>
      </x:c>
      <x:c r="O50" s="6" t="n">
        <x:v>-214022.77</x:v>
      </x:c>
      <x:c r="P50" s="14" t="str">
        <x:v>FX-OP-UDL</x:v>
      </x:c>
      <x:c r="Q50" s="9" t="n">
        <x:f>I50</x:f>
        <x:v>250000</x:v>
      </x:c>
      <x:c r="R50" s="15" t="n">
        <x:f>L50</x:f>
        <x:v>-218662.21</x:v>
      </x:c>
    </x:row>
    <x:row r="51">
      <x:c r="A51" s="13" t="str">
        <x:v>FW-105568</x:v>
      </x:c>
      <x:c r="B51" s="14" t="str">
        <x:v>L_6129_DE</x:v>
      </x:c>
      <x:c r="C51" s="14" t="str">
        <x:v>L_0100_LU</x:v>
      </x:c>
      <x:c r="D51" s="14" t="str">
        <x:v>Internal</x:v>
      </x:c>
      <x:c r="E51" s="5" t="n">
        <x:v>46258</x:v>
      </x:c>
      <x:c r="F51" s="14" t="str">
        <x:v>Forward</x:v>
      </x:c>
      <x:c r="G51" s="14" t="str">
        <x:v>Buy</x:v>
      </x:c>
      <x:c r="H51" s="14" t="str">
        <x:v>CNY</x:v>
      </x:c>
      <x:c r="I51" s="6" t="n">
        <x:v>1400000</x:v>
      </x:c>
      <x:c r="J51" s="7" t="n">
        <x:v>7.70153</x:v>
      </x:c>
      <x:c r="K51" s="14" t="str">
        <x:v>EUR</x:v>
      </x:c>
      <x:c r="L51" s="6" t="n">
        <x:v>-181782.06</x:v>
      </x:c>
      <x:c r="M51" s="6" t="n">
        <x:v>7.8538</x:v>
      </x:c>
      <x:c r="N51" s="6" t="n">
        <x:v>-3524.4</x:v>
      </x:c>
      <x:c r="O51" s="6" t="n">
        <x:v>-178257.66</x:v>
      </x:c>
      <x:c r="P51" s="14" t="str">
        <x:v>FX-OP-UDL</x:v>
      </x:c>
      <x:c r="Q51" s="9" t="n">
        <x:f>I51</x:f>
        <x:v>1400000</x:v>
      </x:c>
      <x:c r="R51" s="15" t="n">
        <x:f>L51</x:f>
        <x:v>-181782.06</x:v>
      </x:c>
    </x:row>
    <x:row r="52">
      <x:c r="A52" s="13" t="str">
        <x:v>FW-105589</x:v>
      </x:c>
      <x:c r="B52" s="14" t="str">
        <x:v>L_6129_DE</x:v>
      </x:c>
      <x:c r="C52" s="14" t="str">
        <x:v>L_0100_LU</x:v>
      </x:c>
      <x:c r="D52" s="14" t="str">
        <x:v>Internal</x:v>
      </x:c>
      <x:c r="E52" s="5" t="n">
        <x:v>46258</x:v>
      </x:c>
      <x:c r="F52" s="14" t="str">
        <x:v>Forward</x:v>
      </x:c>
      <x:c r="G52" s="14" t="str">
        <x:v>Buy</x:v>
      </x:c>
      <x:c r="H52" s="14" t="str">
        <x:v>CNY</x:v>
      </x:c>
      <x:c r="I52" s="6" t="n">
        <x:v>2300000</x:v>
      </x:c>
      <x:c r="J52" s="7" t="n">
        <x:v>7.69593</x:v>
      </x:c>
      <x:c r="K52" s="14" t="str">
        <x:v>EUR</x:v>
      </x:c>
      <x:c r="L52" s="6" t="n">
        <x:v>-298859.27</x:v>
      </x:c>
      <x:c r="M52" s="6" t="n">
        <x:v>7.8538</x:v>
      </x:c>
      <x:c r="N52" s="6" t="n">
        <x:v>-6007.4</x:v>
      </x:c>
      <x:c r="O52" s="6" t="n">
        <x:v>-292851.87</x:v>
      </x:c>
      <x:c r="P52" s="14" t="str">
        <x:v>FX-OP-UDL</x:v>
      </x:c>
      <x:c r="Q52" s="9" t="n">
        <x:f>I52</x:f>
        <x:v>2300000</x:v>
      </x:c>
      <x:c r="R52" s="15" t="n">
        <x:f>L52</x:f>
        <x:v>-298859.27</x:v>
      </x:c>
    </x:row>
    <x:row r="53">
      <x:c r="A53" s="13" t="str">
        <x:v>FW-105594</x:v>
      </x:c>
      <x:c r="B53" s="14" t="str">
        <x:v>L_6129_DE</x:v>
      </x:c>
      <x:c r="C53" s="14" t="str">
        <x:v>L_0100_LU</x:v>
      </x:c>
      <x:c r="D53" s="14" t="str">
        <x:v>Internal</x:v>
      </x:c>
      <x:c r="E53" s="5" t="n">
        <x:v>46258</x:v>
      </x:c>
      <x:c r="F53" s="14" t="str">
        <x:v>Forward</x:v>
      </x:c>
      <x:c r="G53" s="14" t="str">
        <x:v>Buy</x:v>
      </x:c>
      <x:c r="H53" s="14" t="str">
        <x:v>HKD</x:v>
      </x:c>
      <x:c r="I53" s="6" t="n">
        <x:v>1000000</x:v>
      </x:c>
      <x:c r="J53" s="7" t="n">
        <x:v>8.92066</x:v>
      </x:c>
      <x:c r="K53" s="14" t="str">
        <x:v>EUR</x:v>
      </x:c>
      <x:c r="L53" s="6" t="n">
        <x:v>-112099.33</x:v>
      </x:c>
      <x:c r="M53" s="6" t="n">
        <x:v>9.1624</x:v>
      </x:c>
      <x:c r="N53" s="6" t="n">
        <x:v>-2957.62</x:v>
      </x:c>
      <x:c r="O53" s="6" t="n">
        <x:v>-109141.71</x:v>
      </x:c>
      <x:c r="P53" s="14" t="str">
        <x:v>FX-OP-UDL</x:v>
      </x:c>
      <x:c r="Q53" s="9" t="n">
        <x:f>I53</x:f>
        <x:v>1000000</x:v>
      </x:c>
      <x:c r="R53" s="15" t="n">
        <x:f>L53</x:f>
        <x:v>-112099.33</x:v>
      </x:c>
    </x:row>
    <x:row r="54">
      <x:c r="A54" s="13" t="str">
        <x:v>FW-105611</x:v>
      </x:c>
      <x:c r="B54" s="14" t="str">
        <x:v>L_6129_DE</x:v>
      </x:c>
      <x:c r="C54" s="14" t="str">
        <x:v>L_0100_LU</x:v>
      </x:c>
      <x:c r="D54" s="14" t="str">
        <x:v>Internal</x:v>
      </x:c>
      <x:c r="E54" s="5" t="n">
        <x:v>46258</x:v>
      </x:c>
      <x:c r="F54" s="14" t="str">
        <x:v>Forward</x:v>
      </x:c>
      <x:c r="G54" s="14" t="str">
        <x:v>Buy</x:v>
      </x:c>
      <x:c r="H54" s="14" t="str">
        <x:v>CNY</x:v>
      </x:c>
      <x:c r="I54" s="6" t="n">
        <x:v>2500000</x:v>
      </x:c>
      <x:c r="J54" s="7" t="n">
        <x:v>7.68741</x:v>
      </x:c>
      <x:c r="K54" s="14" t="str">
        <x:v>EUR</x:v>
      </x:c>
      <x:c r="L54" s="6" t="n">
        <x:v>-325207.06</x:v>
      </x:c>
      <x:c r="M54" s="6" t="n">
        <x:v>7.8538</x:v>
      </x:c>
      <x:c r="N54" s="6" t="n">
        <x:v>-6889.81</x:v>
      </x:c>
      <x:c r="O54" s="6" t="n">
        <x:v>-318317.25</x:v>
      </x:c>
      <x:c r="P54" s="14" t="str">
        <x:v>FX-OP-UDL</x:v>
      </x:c>
      <x:c r="Q54" s="9" t="n">
        <x:f>I54</x:f>
        <x:v>2500000</x:v>
      </x:c>
      <x:c r="R54" s="15" t="n">
        <x:f>L54</x:f>
        <x:v>-325207.06</x:v>
      </x:c>
    </x:row>
    <x:row r="55">
      <x:c r="A55" s="13" t="str">
        <x:v>FW-105614</x:v>
      </x:c>
      <x:c r="B55" s="14" t="str">
        <x:v>L_6129_DE</x:v>
      </x:c>
      <x:c r="C55" s="14" t="str">
        <x:v>L_0100_LU</x:v>
      </x:c>
      <x:c r="D55" s="14" t="str">
        <x:v>Internal</x:v>
      </x:c>
      <x:c r="E55" s="5" t="n">
        <x:v>46258</x:v>
      </x:c>
      <x:c r="F55" s="14" t="str">
        <x:v>Forward</x:v>
      </x:c>
      <x:c r="G55" s="14" t="str">
        <x:v>Buy</x:v>
      </x:c>
      <x:c r="H55" s="14" t="str">
        <x:v>HKD</x:v>
      </x:c>
      <x:c r="I55" s="6" t="n">
        <x:v>1500000</x:v>
      </x:c>
      <x:c r="J55" s="7" t="n">
        <x:v>8.92286</x:v>
      </x:c>
      <x:c r="K55" s="14" t="str">
        <x:v>EUR</x:v>
      </x:c>
      <x:c r="L55" s="6" t="n">
        <x:v>-168107.54</x:v>
      </x:c>
      <x:c r="M55" s="6" t="n">
        <x:v>9.1624</x:v>
      </x:c>
      <x:c r="N55" s="6" t="n">
        <x:v>-4394.97</x:v>
      </x:c>
      <x:c r="O55" s="6" t="n">
        <x:v>-163712.56</x:v>
      </x:c>
      <x:c r="P55" s="14" t="str">
        <x:v>FX-OP-UDL</x:v>
      </x:c>
      <x:c r="Q55" s="9" t="n">
        <x:f>I55</x:f>
        <x:v>1500000</x:v>
      </x:c>
      <x:c r="R55" s="15" t="n">
        <x:f>L55</x:f>
        <x:v>-168107.54</x:v>
      </x:c>
    </x:row>
    <x:row r="56">
      <x:c r="A56" s="13" t="str">
        <x:v>FW-105620</x:v>
      </x:c>
      <x:c r="B56" s="14" t="str">
        <x:v>L_6129_DE</x:v>
      </x:c>
      <x:c r="C56" s="14" t="str">
        <x:v>L_0100_LU</x:v>
      </x:c>
      <x:c r="D56" s="14" t="str">
        <x:v>Internal</x:v>
      </x:c>
      <x:c r="E56" s="5" t="n">
        <x:v>46258</x:v>
      </x:c>
      <x:c r="F56" s="14" t="str">
        <x:v>Forward</x:v>
      </x:c>
      <x:c r="G56" s="14" t="str">
        <x:v>Buy</x:v>
      </x:c>
      <x:c r="H56" s="14" t="str">
        <x:v>USD</x:v>
      </x:c>
      <x:c r="I56" s="6" t="n">
        <x:v>230000</x:v>
      </x:c>
      <x:c r="J56" s="7" t="n">
        <x:v>1.141067</x:v>
      </x:c>
      <x:c r="K56" s="14" t="str">
        <x:v>EUR</x:v>
      </x:c>
      <x:c r="L56" s="6" t="n">
        <x:v>-201565.73</x:v>
      </x:c>
      <x:c r="M56" s="6" t="n">
        <x:v>1.1681</x:v>
      </x:c>
      <x:c r="N56" s="6" t="n">
        <x:v>-4664.78</x:v>
      </x:c>
      <x:c r="O56" s="6" t="n">
        <x:v>-196900.95</x:v>
      </x:c>
      <x:c r="P56" s="14" t="str">
        <x:v>FX-OP-UDL</x:v>
      </x:c>
      <x:c r="Q56" s="9" t="n">
        <x:f>I56</x:f>
        <x:v>230000</x:v>
      </x:c>
      <x:c r="R56" s="15" t="n">
        <x:f>L56</x:f>
        <x:v>-201565.73</x:v>
      </x:c>
    </x:row>
    <x:row r="57">
      <x:c r="A57" s="13" t="str">
        <x:v>FW-105634</x:v>
      </x:c>
      <x:c r="B57" s="14" t="str">
        <x:v>L_6129_DE</x:v>
      </x:c>
      <x:c r="C57" s="14" t="str">
        <x:v>L_0100_LU</x:v>
      </x:c>
      <x:c r="D57" s="14" t="str">
        <x:v>Internal</x:v>
      </x:c>
      <x:c r="E57" s="5" t="n">
        <x:v>46258</x:v>
      </x:c>
      <x:c r="F57" s="14" t="str">
        <x:v>Forward</x:v>
      </x:c>
      <x:c r="G57" s="14" t="str">
        <x:v>Buy</x:v>
      </x:c>
      <x:c r="H57" s="14" t="str">
        <x:v>CNY</x:v>
      </x:c>
      <x:c r="I57" s="6" t="n">
        <x:v>2500000</x:v>
      </x:c>
      <x:c r="J57" s="7" t="n">
        <x:v>7.6709</x:v>
      </x:c>
      <x:c r="K57" s="14" t="str">
        <x:v>EUR</x:v>
      </x:c>
      <x:c r="L57" s="6" t="n">
        <x:v>-325907</x:v>
      </x:c>
      <x:c r="M57" s="6" t="n">
        <x:v>7.8538</x:v>
      </x:c>
      <x:c r="N57" s="6" t="n">
        <x:v>-7589.75</x:v>
      </x:c>
      <x:c r="O57" s="6" t="n">
        <x:v>-318317.25</x:v>
      </x:c>
      <x:c r="P57" s="14" t="str">
        <x:v>FX-OP-UDL</x:v>
      </x:c>
      <x:c r="Q57" s="9" t="n">
        <x:f>I57</x:f>
        <x:v>2500000</x:v>
      </x:c>
      <x:c r="R57" s="15" t="n">
        <x:f>L57</x:f>
        <x:v>-325907</x:v>
      </x:c>
    </x:row>
    <x:row r="58">
      <x:c r="A58" s="13" t="str">
        <x:v>FW-105639</x:v>
      </x:c>
      <x:c r="B58" s="14" t="str">
        <x:v>L_6129_DE</x:v>
      </x:c>
      <x:c r="C58" s="14" t="str">
        <x:v>L_0100_LU</x:v>
      </x:c>
      <x:c r="D58" s="14" t="str">
        <x:v>Internal</x:v>
      </x:c>
      <x:c r="E58" s="5" t="n">
        <x:v>46258</x:v>
      </x:c>
      <x:c r="F58" s="14" t="str">
        <x:v>Forward</x:v>
      </x:c>
      <x:c r="G58" s="14" t="str">
        <x:v>Sell</x:v>
      </x:c>
      <x:c r="H58" s="14" t="str">
        <x:v>GBP</x:v>
      </x:c>
      <x:c r="I58" s="6" t="n">
        <x:v>-120000</x:v>
      </x:c>
      <x:c r="J58" s="7" t="n">
        <x:v>0.8568</x:v>
      </x:c>
      <x:c r="K58" s="14" t="str">
        <x:v>EUR</x:v>
      </x:c>
      <x:c r="L58" s="6" t="n">
        <x:v>140056.02</x:v>
      </x:c>
      <x:c r="M58" s="6" t="n">
        <x:v>0.85725</x:v>
      </x:c>
      <x:c r="N58" s="6" t="n">
        <x:v>73.52</x:v>
      </x:c>
      <x:c r="O58" s="6" t="n">
        <x:v>139982.5</x:v>
      </x:c>
      <x:c r="P58" s="14" t="str">
        <x:v>FX-OP-UDL</x:v>
      </x:c>
      <x:c r="Q58" s="9" t="n">
        <x:f>I58</x:f>
        <x:v>-120000</x:v>
      </x:c>
      <x:c r="R58" s="15" t="n">
        <x:f>L58</x:f>
        <x:v>140056.02</x:v>
      </x:c>
    </x:row>
    <x:row r="59">
      <x:c r="A59" s="13" t="str">
        <x:v>FW-105642</x:v>
      </x:c>
      <x:c r="B59" s="14" t="str">
        <x:v>L_6129_DE</x:v>
      </x:c>
      <x:c r="C59" s="14" t="str">
        <x:v>L_0100_LU</x:v>
      </x:c>
      <x:c r="D59" s="14" t="str">
        <x:v>Internal</x:v>
      </x:c>
      <x:c r="E59" s="5" t="n">
        <x:v>46258</x:v>
      </x:c>
      <x:c r="F59" s="14" t="str">
        <x:v>Forward</x:v>
      </x:c>
      <x:c r="G59" s="14" t="str">
        <x:v>Buy</x:v>
      </x:c>
      <x:c r="H59" s="14" t="str">
        <x:v>THB</x:v>
      </x:c>
      <x:c r="I59" s="6" t="n">
        <x:v>3000000</x:v>
      </x:c>
      <x:c r="J59" s="7" t="n">
        <x:v>37.98</x:v>
      </x:c>
      <x:c r="K59" s="14" t="str">
        <x:v>EUR</x:v>
      </x:c>
      <x:c r="L59" s="6" t="n">
        <x:v>-78988.94</x:v>
      </x:c>
      <x:c r="M59" s="6" t="n">
        <x:v>38.448</x:v>
      </x:c>
      <x:c r="N59" s="6" t="n">
        <x:v>-961.48</x:v>
      </x:c>
      <x:c r="O59" s="6" t="n">
        <x:v>-78027.47</x:v>
      </x:c>
      <x:c r="P59" s="14" t="str">
        <x:v>FX-OP-UDL</x:v>
      </x:c>
      <x:c r="Q59" s="9" t="n">
        <x:f>I59</x:f>
        <x:v>3000000</x:v>
      </x:c>
      <x:c r="R59" s="15" t="n">
        <x:f>L59</x:f>
        <x:v>-78988.94</x:v>
      </x:c>
    </x:row>
    <x:row r="60">
      <x:c r="A60" s="13" t="str">
        <x:v>NDF-105647</x:v>
      </x:c>
      <x:c r="B60" s="14" t="str">
        <x:v>L_6129_DE</x:v>
      </x:c>
      <x:c r="C60" s="14" t="str">
        <x:v>L_0100_LU</x:v>
      </x:c>
      <x:c r="D60" s="14" t="str">
        <x:v>Internal</x:v>
      </x:c>
      <x:c r="E60" s="5" t="n">
        <x:v>46258</x:v>
      </x:c>
      <x:c r="F60" s="14" t="str">
        <x:v>Non Delivery Forward</x:v>
      </x:c>
      <x:c r="G60" s="14" t="str">
        <x:v>Buy</x:v>
      </x:c>
      <x:c r="H60" s="14" t="str">
        <x:v>INR</x:v>
      </x:c>
      <x:c r="I60" s="6" t="n">
        <x:v>22000000</x:v>
      </x:c>
      <x:c r="J60" s="7" t="n">
        <x:v>108.69</x:v>
      </x:c>
      <x:c r="K60" s="14" t="str">
        <x:v>EUR</x:v>
      </x:c>
      <x:c r="L60" s="6" t="n">
        <x:v>-202410.53</x:v>
      </x:c>
      <x:c r="M60" s="6" t="n">
        <x:v>111.7985</x:v>
      </x:c>
      <x:c r="N60" s="6" t="n">
        <x:v>-5627.92</x:v>
      </x:c>
      <x:c r="O60" s="6" t="n">
        <x:v>-196782.6</x:v>
      </x:c>
      <x:c r="P60" s="14" t="str">
        <x:v>FX-OP-UDL</x:v>
      </x:c>
      <x:c r="Q60" s="9" t="n">
        <x:f>I60</x:f>
        <x:v>22000000</x:v>
      </x:c>
      <x:c r="R60" s="15" t="n">
        <x:f>L60</x:f>
        <x:v>-202410.53</x:v>
      </x:c>
    </x:row>
    <x:row r="61">
      <x:c r="A61" s="13" t="str">
        <x:v>FW-105671</x:v>
      </x:c>
      <x:c r="B61" s="14" t="str">
        <x:v>L_6129_DE</x:v>
      </x:c>
      <x:c r="C61" s="14" t="str">
        <x:v>L_0100_LU</x:v>
      </x:c>
      <x:c r="D61" s="14" t="str">
        <x:v>Internal</x:v>
      </x:c>
      <x:c r="E61" s="5" t="n">
        <x:v>46258</x:v>
      </x:c>
      <x:c r="F61" s="14" t="str">
        <x:v>Forward</x:v>
      </x:c>
      <x:c r="G61" s="14" t="str">
        <x:v>Buy</x:v>
      </x:c>
      <x:c r="H61" s="14" t="str">
        <x:v>USD</x:v>
      </x:c>
      <x:c r="I61" s="6" t="n">
        <x:v>100000</x:v>
      </x:c>
      <x:c r="J61" s="7" t="n">
        <x:v>1.138</x:v>
      </x:c>
      <x:c r="K61" s="14" t="str">
        <x:v>EUR</x:v>
      </x:c>
      <x:c r="L61" s="6" t="n">
        <x:v>-87873.46</x:v>
      </x:c>
      <x:c r="M61" s="6" t="n">
        <x:v>1.1681</x:v>
      </x:c>
      <x:c r="N61" s="6" t="n">
        <x:v>-2264.35</x:v>
      </x:c>
      <x:c r="O61" s="6" t="n">
        <x:v>-85609.11</x:v>
      </x:c>
      <x:c r="P61" s="14" t="str">
        <x:v>FX-OP-UDL</x:v>
      </x:c>
      <x:c r="Q61" s="9" t="n">
        <x:f>I61</x:f>
        <x:v>100000</x:v>
      </x:c>
      <x:c r="R61" s="15" t="n">
        <x:f>L61</x:f>
        <x:v>-87873.46</x:v>
      </x:c>
    </x:row>
    <x:row r="62">
      <x:c r="A62" s="13" t="str">
        <x:v>FW-105674</x:v>
      </x:c>
      <x:c r="B62" s="14" t="str">
        <x:v>L_6129_DE</x:v>
      </x:c>
      <x:c r="C62" s="14" t="str">
        <x:v>L_0100_LU</x:v>
      </x:c>
      <x:c r="D62" s="14" t="str">
        <x:v>Internal</x:v>
      </x:c>
      <x:c r="E62" s="5" t="n">
        <x:v>46258</x:v>
      </x:c>
      <x:c r="F62" s="14" t="str">
        <x:v>Forward</x:v>
      </x:c>
      <x:c r="G62" s="14" t="str">
        <x:v>Sell</x:v>
      </x:c>
      <x:c r="H62" s="14" t="str">
        <x:v>GBP</x:v>
      </x:c>
      <x:c r="I62" s="6" t="n">
        <x:v>-100000</x:v>
      </x:c>
      <x:c r="J62" s="7" t="n">
        <x:v>0.8581</x:v>
      </x:c>
      <x:c r="K62" s="14" t="str">
        <x:v>EUR</x:v>
      </x:c>
      <x:c r="L62" s="6" t="n">
        <x:v>116536.53</x:v>
      </x:c>
      <x:c r="M62" s="6" t="n">
        <x:v>0.85725</x:v>
      </x:c>
      <x:c r="N62" s="6" t="n">
        <x:v>-115.55</x:v>
      </x:c>
      <x:c r="O62" s="6" t="n">
        <x:v>116652.09</x:v>
      </x:c>
      <x:c r="P62" s="14" t="str">
        <x:v>FX-OP-UDL</x:v>
      </x:c>
      <x:c r="Q62" s="9" t="n">
        <x:f>I62</x:f>
        <x:v>-100000</x:v>
      </x:c>
      <x:c r="R62" s="15" t="n">
        <x:f>L62</x:f>
        <x:v>116536.53</x:v>
      </x:c>
    </x:row>
    <x:row r="63">
      <x:c r="A63" s="13" t="str">
        <x:v>FW-105677</x:v>
      </x:c>
      <x:c r="B63" s="14" t="str">
        <x:v>L_6129_DE</x:v>
      </x:c>
      <x:c r="C63" s="14" t="str">
        <x:v>L_0100_LU</x:v>
      </x:c>
      <x:c r="D63" s="14" t="str">
        <x:v>Internal</x:v>
      </x:c>
      <x:c r="E63" s="5" t="n">
        <x:v>46258</x:v>
      </x:c>
      <x:c r="F63" s="14" t="str">
        <x:v>Forward</x:v>
      </x:c>
      <x:c r="G63" s="14" t="str">
        <x:v>Buy</x:v>
      </x:c>
      <x:c r="H63" s="14" t="str">
        <x:v>HKD</x:v>
      </x:c>
      <x:c r="I63" s="6" t="n">
        <x:v>1000000</x:v>
      </x:c>
      <x:c r="J63" s="7" t="n">
        <x:v>8.9142</x:v>
      </x:c>
      <x:c r="K63" s="14" t="str">
        <x:v>EUR</x:v>
      </x:c>
      <x:c r="L63" s="6" t="n">
        <x:v>-112180.57</x:v>
      </x:c>
      <x:c r="M63" s="6" t="n">
        <x:v>9.1624</x:v>
      </x:c>
      <x:c r="N63" s="6" t="n">
        <x:v>-3038.86</x:v>
      </x:c>
      <x:c r="O63" s="6" t="n">
        <x:v>-109141.71</x:v>
      </x:c>
      <x:c r="P63" s="14" t="str">
        <x:v>FX-OP-UDL</x:v>
      </x:c>
      <x:c r="Q63" s="9" t="n">
        <x:f>I63</x:f>
        <x:v>1000000</x:v>
      </x:c>
      <x:c r="R63" s="15" t="n">
        <x:f>L63</x:f>
        <x:v>-112180.57</x:v>
      </x:c>
    </x:row>
    <x:row r="64">
      <x:c r="A64" s="13" t="str">
        <x:v>NDF-105682</x:v>
      </x:c>
      <x:c r="B64" s="14" t="str">
        <x:v>L_6129_DE</x:v>
      </x:c>
      <x:c r="C64" s="14" t="str">
        <x:v>L_0100_LU</x:v>
      </x:c>
      <x:c r="D64" s="14" t="str">
        <x:v>Internal</x:v>
      </x:c>
      <x:c r="E64" s="5" t="n">
        <x:v>46258</x:v>
      </x:c>
      <x:c r="F64" s="14" t="str">
        <x:v>Non Delivery Forward</x:v>
      </x:c>
      <x:c r="G64" s="14" t="str">
        <x:v>Buy</x:v>
      </x:c>
      <x:c r="H64" s="14" t="str">
        <x:v>INR</x:v>
      </x:c>
      <x:c r="I64" s="6" t="n">
        <x:v>10000000</x:v>
      </x:c>
      <x:c r="J64" s="7" t="n">
        <x:v>108.74</x:v>
      </x:c>
      <x:c r="K64" s="14" t="str">
        <x:v>EUR</x:v>
      </x:c>
      <x:c r="L64" s="6" t="n">
        <x:v>-91962.48</x:v>
      </x:c>
      <x:c r="M64" s="6" t="n">
        <x:v>111.7985</x:v>
      </x:c>
      <x:c r="N64" s="6" t="n">
        <x:v>-2515.84</x:v>
      </x:c>
      <x:c r="O64" s="6" t="n">
        <x:v>-89446.64</x:v>
      </x:c>
      <x:c r="P64" s="14" t="str">
        <x:v>FX-OP-UDL</x:v>
      </x:c>
      <x:c r="Q64" s="9" t="n">
        <x:f>I64</x:f>
        <x:v>10000000</x:v>
      </x:c>
      <x:c r="R64" s="15" t="n">
        <x:f>L64</x:f>
        <x:v>-91962.48</x:v>
      </x:c>
    </x:row>
    <x:row r="65">
      <x:c r="A65" s="13" t="str">
        <x:v>FW-105688</x:v>
      </x:c>
      <x:c r="B65" s="14" t="str">
        <x:v>L_6129_DE</x:v>
      </x:c>
      <x:c r="C65" s="14" t="str">
        <x:v>L_0100_LU</x:v>
      </x:c>
      <x:c r="D65" s="14" t="str">
        <x:v>Internal</x:v>
      </x:c>
      <x:c r="E65" s="5" t="n">
        <x:v>46258</x:v>
      </x:c>
      <x:c r="F65" s="14" t="str">
        <x:v>Forward</x:v>
      </x:c>
      <x:c r="G65" s="14" t="str">
        <x:v>Buy</x:v>
      </x:c>
      <x:c r="H65" s="14" t="str">
        <x:v>CNY</x:v>
      </x:c>
      <x:c r="I65" s="6" t="n">
        <x:v>800000</x:v>
      </x:c>
      <x:c r="J65" s="7" t="n">
        <x:v>7.6969</x:v>
      </x:c>
      <x:c r="K65" s="14" t="str">
        <x:v>EUR</x:v>
      </x:c>
      <x:c r="L65" s="6" t="n">
        <x:v>-103937.95</x:v>
      </x:c>
      <x:c r="M65" s="6" t="n">
        <x:v>7.8538</x:v>
      </x:c>
      <x:c r="N65" s="6" t="n">
        <x:v>-2076.43</x:v>
      </x:c>
      <x:c r="O65" s="6" t="n">
        <x:v>-101861.52</x:v>
      </x:c>
      <x:c r="P65" s="14" t="str">
        <x:v>FX-OP-UDL</x:v>
      </x:c>
      <x:c r="Q65" s="9" t="n">
        <x:f>I65</x:f>
        <x:v>800000</x:v>
      </x:c>
      <x:c r="R65" s="15" t="n">
        <x:f>L65</x:f>
        <x:v>-103937.95</x:v>
      </x:c>
    </x:row>
    <x:row r="66">
      <x:c r="A66" s="13" t="str">
        <x:v>FW-105701</x:v>
      </x:c>
      <x:c r="B66" s="14" t="str">
        <x:v>L_6129_DE</x:v>
      </x:c>
      <x:c r="C66" s="14" t="str">
        <x:v>L_0100_LU</x:v>
      </x:c>
      <x:c r="D66" s="14" t="str">
        <x:v>Internal</x:v>
      </x:c>
      <x:c r="E66" s="5" t="n">
        <x:v>46258</x:v>
      </x:c>
      <x:c r="F66" s="14" t="str">
        <x:v>Forward</x:v>
      </x:c>
      <x:c r="G66" s="14" t="str">
        <x:v>Buy</x:v>
      </x:c>
      <x:c r="H66" s="14" t="str">
        <x:v>AUD</x:v>
      </x:c>
      <x:c r="I66" s="6" t="n">
        <x:v>350000</x:v>
      </x:c>
      <x:c r="J66" s="7" t="n">
        <x:v>1.646905</x:v>
      </x:c>
      <x:c r="K66" s="14" t="str">
        <x:v>EUR</x:v>
      </x:c>
      <x:c r="L66" s="6" t="n">
        <x:v>-212519.85</x:v>
      </x:c>
      <x:c r="M66" s="6" t="n">
        <x:v>1.6438</x:v>
      </x:c>
      <x:c r="N66" s="6" t="n">
        <x:v>401.43</x:v>
      </x:c>
      <x:c r="O66" s="6" t="n">
        <x:v>-212921.28</x:v>
      </x:c>
      <x:c r="P66" s="14" t="str">
        <x:v>FX-OP-UDL</x:v>
      </x:c>
      <x:c r="Q66" s="9" t="n">
        <x:f>I66</x:f>
        <x:v>350000</x:v>
      </x:c>
      <x:c r="R66" s="15" t="n">
        <x:f>L66</x:f>
        <x:v>-212519.85</x:v>
      </x:c>
    </x:row>
    <x:row r="67">
      <x:c r="A67" s="13" t="str">
        <x:v>FW-105710</x:v>
      </x:c>
      <x:c r="B67" s="14" t="str">
        <x:v>L_6129_DE</x:v>
      </x:c>
      <x:c r="C67" s="14" t="str">
        <x:v>L_0100_LU</x:v>
      </x:c>
      <x:c r="D67" s="14" t="str">
        <x:v>Internal</x:v>
      </x:c>
      <x:c r="E67" s="5" t="n">
        <x:v>46258</x:v>
      </x:c>
      <x:c r="F67" s="14" t="str">
        <x:v>Forward</x:v>
      </x:c>
      <x:c r="G67" s="14" t="str">
        <x:v>Sell</x:v>
      </x:c>
      <x:c r="H67" s="14" t="str">
        <x:v>GBP</x:v>
      </x:c>
      <x:c r="I67" s="6" t="n">
        <x:v>-150000</x:v>
      </x:c>
      <x:c r="J67" s="7" t="n">
        <x:v>0.8582</x:v>
      </x:c>
      <x:c r="K67" s="14" t="str">
        <x:v>EUR</x:v>
      </x:c>
      <x:c r="L67" s="6" t="n">
        <x:v>174784.43</x:v>
      </x:c>
      <x:c r="M67" s="6" t="n">
        <x:v>0.85725</x:v>
      </x:c>
      <x:c r="N67" s="6" t="n">
        <x:v>-193.7</x:v>
      </x:c>
      <x:c r="O67" s="6" t="n">
        <x:v>174978.13</x:v>
      </x:c>
      <x:c r="P67" s="14" t="str">
        <x:v>FX-OP-UDL</x:v>
      </x:c>
      <x:c r="Q67" s="9" t="n">
        <x:f>I67</x:f>
        <x:v>-150000</x:v>
      </x:c>
      <x:c r="R67" s="15" t="n">
        <x:f>L67</x:f>
        <x:v>174784.43</x:v>
      </x:c>
    </x:row>
    <x:row r="68">
      <x:c r="A68" s="13" t="str">
        <x:v>NDF-105715</x:v>
      </x:c>
      <x:c r="B68" s="14" t="str">
        <x:v>L_6129_DE</x:v>
      </x:c>
      <x:c r="C68" s="14" t="str">
        <x:v>L_0100_LU</x:v>
      </x:c>
      <x:c r="D68" s="14" t="str">
        <x:v>Internal</x:v>
      </x:c>
      <x:c r="E68" s="5" t="n">
        <x:v>46258</x:v>
      </x:c>
      <x:c r="F68" s="14" t="str">
        <x:v>Non Delivery Forward</x:v>
      </x:c>
      <x:c r="G68" s="14" t="str">
        <x:v>Buy</x:v>
      </x:c>
      <x:c r="H68" s="14" t="str">
        <x:v>INR</x:v>
      </x:c>
      <x:c r="I68" s="6" t="n">
        <x:v>18000000</x:v>
      </x:c>
      <x:c r="J68" s="7" t="n">
        <x:v>109.51</x:v>
      </x:c>
      <x:c r="K68" s="14" t="str">
        <x:v>EUR</x:v>
      </x:c>
      <x:c r="L68" s="6" t="n">
        <x:v>-164368.55</x:v>
      </x:c>
      <x:c r="M68" s="6" t="n">
        <x:v>111.7985</x:v>
      </x:c>
      <x:c r="N68" s="6" t="n">
        <x:v>-3364.6</x:v>
      </x:c>
      <x:c r="O68" s="6" t="n">
        <x:v>-161003.95</x:v>
      </x:c>
      <x:c r="P68" s="14" t="str">
        <x:v>FX-OP-UDL</x:v>
      </x:c>
      <x:c r="Q68" s="9" t="n">
        <x:f>I68</x:f>
        <x:v>18000000</x:v>
      </x:c>
      <x:c r="R68" s="15" t="n">
        <x:f>L68</x:f>
        <x:v>-164368.55</x:v>
      </x:c>
    </x:row>
    <x:row r="69">
      <x:c r="A69" s="13" t="str">
        <x:v>FW-105718</x:v>
      </x:c>
      <x:c r="B69" s="14" t="str">
        <x:v>L_6129_DE</x:v>
      </x:c>
      <x:c r="C69" s="14" t="str">
        <x:v>L_0100_LU</x:v>
      </x:c>
      <x:c r="D69" s="14" t="str">
        <x:v>Internal</x:v>
      </x:c>
      <x:c r="E69" s="5" t="n">
        <x:v>46258</x:v>
      </x:c>
      <x:c r="F69" s="14" t="str">
        <x:v>Forward</x:v>
      </x:c>
      <x:c r="G69" s="14" t="str">
        <x:v>Buy</x:v>
      </x:c>
      <x:c r="H69" s="14" t="str">
        <x:v>PLN</x:v>
      </x:c>
      <x:c r="I69" s="6" t="n">
        <x:v>300000</x:v>
      </x:c>
      <x:c r="J69" s="7" t="n">
        <x:v>4.306</x:v>
      </x:c>
      <x:c r="K69" s="14" t="str">
        <x:v>EUR</x:v>
      </x:c>
      <x:c r="L69" s="6" t="n">
        <x:v>-69670.23</x:v>
      </x:c>
      <x:c r="M69" s="6" t="n">
        <x:v>4.3188</x:v>
      </x:c>
      <x:c r="N69" s="6" t="n">
        <x:v>-206.49</x:v>
      </x:c>
      <x:c r="O69" s="6" t="n">
        <x:v>-69463.74</x:v>
      </x:c>
      <x:c r="P69" s="14" t="str">
        <x:v>FX-OP-UDL</x:v>
      </x:c>
      <x:c r="Q69" s="9" t="n">
        <x:f>I69</x:f>
        <x:v>300000</x:v>
      </x:c>
      <x:c r="R69" s="15" t="n">
        <x:f>L69</x:f>
        <x:v>-69670.23</x:v>
      </x:c>
    </x:row>
    <x:row r="70">
      <x:c r="A70" s="13" t="str">
        <x:v>FW-105741</x:v>
      </x:c>
      <x:c r="B70" s="14" t="str">
        <x:v>L_6129_DE</x:v>
      </x:c>
      <x:c r="C70" s="14" t="str">
        <x:v>L_0100_LU</x:v>
      </x:c>
      <x:c r="D70" s="14" t="str">
        <x:v>Internal</x:v>
      </x:c>
      <x:c r="E70" s="5" t="n">
        <x:v>46258</x:v>
      </x:c>
      <x:c r="F70" s="14" t="str">
        <x:v>Forward</x:v>
      </x:c>
      <x:c r="G70" s="14" t="str">
        <x:v>Buy</x:v>
      </x:c>
      <x:c r="H70" s="14" t="str">
        <x:v>CNY</x:v>
      </x:c>
      <x:c r="I70" s="6" t="n">
        <x:v>2500000</x:v>
      </x:c>
      <x:c r="J70" s="7" t="n">
        <x:v>7.7362</x:v>
      </x:c>
      <x:c r="K70" s="14" t="str">
        <x:v>EUR</x:v>
      </x:c>
      <x:c r="L70" s="6" t="n">
        <x:v>-323156.07</x:v>
      </x:c>
      <x:c r="M70" s="6" t="n">
        <x:v>7.8538</x:v>
      </x:c>
      <x:c r="N70" s="6" t="n">
        <x:v>-4838.82</x:v>
      </x:c>
      <x:c r="O70" s="6" t="n">
        <x:v>-318317.25</x:v>
      </x:c>
      <x:c r="P70" s="14" t="str">
        <x:v>FX-OP-UDL</x:v>
      </x:c>
      <x:c r="Q70" s="9" t="n">
        <x:f>I70</x:f>
        <x:v>2500000</x:v>
      </x:c>
      <x:c r="R70" s="15" t="n">
        <x:f>L70</x:f>
        <x:v>-323156.07</x:v>
      </x:c>
    </x:row>
    <x:row r="71">
      <x:c r="A71" s="13" t="str">
        <x:v>FW-105748</x:v>
      </x:c>
      <x:c r="B71" s="14" t="str">
        <x:v>L_6129_DE</x:v>
      </x:c>
      <x:c r="C71" s="14" t="str">
        <x:v>L_0100_LU</x:v>
      </x:c>
      <x:c r="D71" s="14" t="str">
        <x:v>Internal</x:v>
      </x:c>
      <x:c r="E71" s="5" t="n">
        <x:v>46258</x:v>
      </x:c>
      <x:c r="F71" s="14" t="str">
        <x:v>Forward</x:v>
      </x:c>
      <x:c r="G71" s="14" t="str">
        <x:v>Buy</x:v>
      </x:c>
      <x:c r="H71" s="14" t="str">
        <x:v>SAR</x:v>
      </x:c>
      <x:c r="I71" s="6" t="n">
        <x:v>950000</x:v>
      </x:c>
      <x:c r="J71" s="7" t="n">
        <x:v>4.3081</x:v>
      </x:c>
      <x:c r="K71" s="14" t="str">
        <x:v>EUR</x:v>
      </x:c>
      <x:c r="L71" s="6" t="n">
        <x:v>-220514.84</x:v>
      </x:c>
      <x:c r="M71" s="6" t="n">
        <x:v>4.380375</x:v>
      </x:c>
      <x:c r="N71" s="6" t="n">
        <x:v>-3638.44</x:v>
      </x:c>
      <x:c r="O71" s="6" t="n">
        <x:v>-216876.41</x:v>
      </x:c>
      <x:c r="P71" s="14" t="str">
        <x:v>FX-OP-UDL</x:v>
      </x:c>
      <x:c r="Q71" s="9" t="n">
        <x:f>I71</x:f>
        <x:v>950000</x:v>
      </x:c>
      <x:c r="R71" s="15" t="n">
        <x:f>L71</x:f>
        <x:v>-220514.84</x:v>
      </x:c>
    </x:row>
    <x:row r="72">
      <x:c r="A72" s="13" t="str">
        <x:v>FW-105751</x:v>
      </x:c>
      <x:c r="B72" s="14" t="str">
        <x:v>L_6129_DE</x:v>
      </x:c>
      <x:c r="C72" s="14" t="str">
        <x:v>L_0100_LU</x:v>
      </x:c>
      <x:c r="D72" s="14" t="str">
        <x:v>Internal</x:v>
      </x:c>
      <x:c r="E72" s="5" t="n">
        <x:v>46258</x:v>
      </x:c>
      <x:c r="F72" s="14" t="str">
        <x:v>Forward</x:v>
      </x:c>
      <x:c r="G72" s="14" t="str">
        <x:v>Buy</x:v>
      </x:c>
      <x:c r="H72" s="14" t="str">
        <x:v>HKD</x:v>
      </x:c>
      <x:c r="I72" s="6" t="n">
        <x:v>2000000</x:v>
      </x:c>
      <x:c r="J72" s="7" t="n">
        <x:v>8.999</x:v>
      </x:c>
      <x:c r="K72" s="14" t="str">
        <x:v>EUR</x:v>
      </x:c>
      <x:c r="L72" s="6" t="n">
        <x:v>-222246.92</x:v>
      </x:c>
      <x:c r="M72" s="6" t="n">
        <x:v>9.1624</x:v>
      </x:c>
      <x:c r="N72" s="6" t="n">
        <x:v>-3963.5</x:v>
      </x:c>
      <x:c r="O72" s="6" t="n">
        <x:v>-218283.42</x:v>
      </x:c>
      <x:c r="P72" s="14" t="str">
        <x:v>FX-OP-UDL</x:v>
      </x:c>
      <x:c r="Q72" s="9" t="n">
        <x:f>I72</x:f>
        <x:v>2000000</x:v>
      </x:c>
      <x:c r="R72" s="15" t="n">
        <x:f>L72</x:f>
        <x:v>-222246.92</x:v>
      </x:c>
    </x:row>
    <x:row r="73">
      <x:c r="A73" s="13" t="str">
        <x:v>FW-105754</x:v>
      </x:c>
      <x:c r="B73" s="14" t="str">
        <x:v>L_6129_DE</x:v>
      </x:c>
      <x:c r="C73" s="14" t="str">
        <x:v>L_0100_LU</x:v>
      </x:c>
      <x:c r="D73" s="14" t="str">
        <x:v>Internal</x:v>
      </x:c>
      <x:c r="E73" s="5" t="n">
        <x:v>46258</x:v>
      </x:c>
      <x:c r="F73" s="14" t="str">
        <x:v>Forward</x:v>
      </x:c>
      <x:c r="G73" s="14" t="str">
        <x:v>Sell</x:v>
      </x:c>
      <x:c r="H73" s="14" t="str">
        <x:v>SGD</x:v>
      </x:c>
      <x:c r="I73" s="6" t="n">
        <x:v>-120000</x:v>
      </x:c>
      <x:c r="J73" s="7" t="n">
        <x:v>1.4765</x:v>
      </x:c>
      <x:c r="K73" s="14" t="str">
        <x:v>EUR</x:v>
      </x:c>
      <x:c r="L73" s="6" t="n">
        <x:v>81273.28</x:v>
      </x:c>
      <x:c r="M73" s="6" t="n">
        <x:v>1.486</x:v>
      </x:c>
      <x:c r="N73" s="6" t="n">
        <x:v>519.58</x:v>
      </x:c>
      <x:c r="O73" s="6" t="n">
        <x:v>80753.7</x:v>
      </x:c>
      <x:c r="P73" s="14" t="str">
        <x:v>FX-OP-UDL</x:v>
      </x:c>
      <x:c r="Q73" s="9" t="n">
        <x:f>I73</x:f>
        <x:v>-120000</x:v>
      </x:c>
      <x:c r="R73" s="15" t="n">
        <x:f>L73</x:f>
        <x:v>81273.28</x:v>
      </x:c>
    </x:row>
    <x:row r="74">
      <x:c r="A74" s="13" t="str">
        <x:v>FW-105764</x:v>
      </x:c>
      <x:c r="B74" s="14" t="str">
        <x:v>L_6129_DE</x:v>
      </x:c>
      <x:c r="C74" s="14" t="str">
        <x:v>L_0100_LU</x:v>
      </x:c>
      <x:c r="D74" s="14" t="str">
        <x:v>Internal</x:v>
      </x:c>
      <x:c r="E74" s="5" t="n">
        <x:v>46258</x:v>
      </x:c>
      <x:c r="F74" s="14" t="str">
        <x:v>Forward</x:v>
      </x:c>
      <x:c r="G74" s="14" t="str">
        <x:v>Buy</x:v>
      </x:c>
      <x:c r="H74" s="14" t="str">
        <x:v>CNY</x:v>
      </x:c>
      <x:c r="I74" s="6" t="n">
        <x:v>1000000</x:v>
      </x:c>
      <x:c r="J74" s="7" t="n">
        <x:v>7.7663</x:v>
      </x:c>
      <x:c r="K74" s="14" t="str">
        <x:v>EUR</x:v>
      </x:c>
      <x:c r="L74" s="6" t="n">
        <x:v>-128761.44</x:v>
      </x:c>
      <x:c r="M74" s="6" t="n">
        <x:v>7.8538</x:v>
      </x:c>
      <x:c r="N74" s="6" t="n">
        <x:v>-1434.54</x:v>
      </x:c>
      <x:c r="O74" s="6" t="n">
        <x:v>-127326.9</x:v>
      </x:c>
      <x:c r="P74" s="14" t="str">
        <x:v>FX-OP-UDL</x:v>
      </x:c>
      <x:c r="Q74" s="9" t="n">
        <x:f>I74</x:f>
        <x:v>1000000</x:v>
      </x:c>
      <x:c r="R74" s="15" t="n">
        <x:f>L74</x:f>
        <x:v>-128761.44</x:v>
      </x:c>
    </x:row>
    <x:row r="75">
      <x:c r="A75" s="13" t="str">
        <x:v>FW-105767</x:v>
      </x:c>
      <x:c r="B75" s="14" t="str">
        <x:v>L_6129_DE</x:v>
      </x:c>
      <x:c r="C75" s="14" t="str">
        <x:v>L_0100_LU</x:v>
      </x:c>
      <x:c r="D75" s="14" t="str">
        <x:v>Internal</x:v>
      </x:c>
      <x:c r="E75" s="5" t="n">
        <x:v>46258</x:v>
      </x:c>
      <x:c r="F75" s="14" t="str">
        <x:v>Forward</x:v>
      </x:c>
      <x:c r="G75" s="14" t="str">
        <x:v>Buy</x:v>
      </x:c>
      <x:c r="H75" s="14" t="str">
        <x:v>HKD</x:v>
      </x:c>
      <x:c r="I75" s="6" t="n">
        <x:v>800000</x:v>
      </x:c>
      <x:c r="J75" s="7" t="n">
        <x:v>9.0317</x:v>
      </x:c>
      <x:c r="K75" s="14" t="str">
        <x:v>EUR</x:v>
      </x:c>
      <x:c r="L75" s="6" t="n">
        <x:v>-88576.9</x:v>
      </x:c>
      <x:c r="M75" s="6" t="n">
        <x:v>9.1624</x:v>
      </x:c>
      <x:c r="N75" s="6" t="n">
        <x:v>-1263.53</x:v>
      </x:c>
      <x:c r="O75" s="6" t="n">
        <x:v>-87313.37</x:v>
      </x:c>
      <x:c r="P75" s="14" t="str">
        <x:v>FX-OP-UDL</x:v>
      </x:c>
      <x:c r="Q75" s="9" t="n">
        <x:f>I75</x:f>
        <x:v>800000</x:v>
      </x:c>
      <x:c r="R75" s="15" t="n">
        <x:f>L75</x:f>
        <x:v>-88576.9</x:v>
      </x:c>
    </x:row>
    <x:row r="76">
      <x:c r="A76" s="13" t="str">
        <x:v>FW-105770</x:v>
      </x:c>
      <x:c r="B76" s="14" t="str">
        <x:v>L_6129_DE</x:v>
      </x:c>
      <x:c r="C76" s="14" t="str">
        <x:v>L_0100_LU</x:v>
      </x:c>
      <x:c r="D76" s="14" t="str">
        <x:v>Internal</x:v>
      </x:c>
      <x:c r="E76" s="5" t="n">
        <x:v>46258</x:v>
      </x:c>
      <x:c r="F76" s="14" t="str">
        <x:v>Forward</x:v>
      </x:c>
      <x:c r="G76" s="14" t="str">
        <x:v>Buy</x:v>
      </x:c>
      <x:c r="H76" s="14" t="str">
        <x:v>THB</x:v>
      </x:c>
      <x:c r="I76" s="6" t="n">
        <x:v>2500000</x:v>
      </x:c>
      <x:c r="J76" s="7" t="n">
        <x:v>38.17</x:v>
      </x:c>
      <x:c r="K76" s="14" t="str">
        <x:v>EUR</x:v>
      </x:c>
      <x:c r="L76" s="6" t="n">
        <x:v>-65496.46</x:v>
      </x:c>
      <x:c r="M76" s="6" t="n">
        <x:v>38.448</x:v>
      </x:c>
      <x:c r="N76" s="6" t="n">
        <x:v>-473.58</x:v>
      </x:c>
      <x:c r="O76" s="6" t="n">
        <x:v>-65022.89</x:v>
      </x:c>
      <x:c r="P76" s="14" t="str">
        <x:v>FX-OP-UDL</x:v>
      </x:c>
      <x:c r="Q76" s="9" t="n">
        <x:f>I76</x:f>
        <x:v>2500000</x:v>
      </x:c>
      <x:c r="R76" s="15" t="n">
        <x:f>L76</x:f>
        <x:v>-65496.46</x:v>
      </x:c>
    </x:row>
    <x:row r="77">
      <x:c r="A77" s="13" t="str">
        <x:v>FW-105779</x:v>
      </x:c>
      <x:c r="B77" s="14" t="str">
        <x:v>L_6129_DE</x:v>
      </x:c>
      <x:c r="C77" s="14" t="str">
        <x:v>L_0100_LU</x:v>
      </x:c>
      <x:c r="D77" s="14" t="str">
        <x:v>Internal</x:v>
      </x:c>
      <x:c r="E77" s="5" t="n">
        <x:v>46258</x:v>
      </x:c>
      <x:c r="F77" s="14" t="str">
        <x:v>Forward</x:v>
      </x:c>
      <x:c r="G77" s="14" t="str">
        <x:v>Buy</x:v>
      </x:c>
      <x:c r="H77" s="14" t="str">
        <x:v>USD</x:v>
      </x:c>
      <x:c r="I77" s="6" t="n">
        <x:v>480000</x:v>
      </x:c>
      <x:c r="J77" s="7" t="n">
        <x:v>1.152305</x:v>
      </x:c>
      <x:c r="K77" s="14" t="str">
        <x:v>EUR</x:v>
      </x:c>
      <x:c r="L77" s="6" t="n">
        <x:v>-416556.38</x:v>
      </x:c>
      <x:c r="M77" s="6" t="n">
        <x:v>1.1681</x:v>
      </x:c>
      <x:c r="N77" s="6" t="n">
        <x:v>-5632.66</x:v>
      </x:c>
      <x:c r="O77" s="6" t="n">
        <x:v>-410923.72</x:v>
      </x:c>
      <x:c r="P77" s="14" t="str">
        <x:v>FX-OP-UDL</x:v>
      </x:c>
      <x:c r="Q77" s="9" t="n">
        <x:f>I77</x:f>
        <x:v>480000</x:v>
      </x:c>
      <x:c r="R77" s="15" t="n">
        <x:f>L77</x:f>
        <x:v>-416556.38</x:v>
      </x:c>
    </x:row>
    <x:row r="78">
      <x:c r="A78" s="13" t="str">
        <x:v>NDF-105871</x:v>
      </x:c>
      <x:c r="B78" s="14" t="str">
        <x:v>L_6129_DE</x:v>
      </x:c>
      <x:c r="C78" s="14" t="str">
        <x:v>L_0100_LU</x:v>
      </x:c>
      <x:c r="D78" s="14" t="str">
        <x:v>Internal</x:v>
      </x:c>
      <x:c r="E78" s="5" t="n">
        <x:v>46258</x:v>
      </x:c>
      <x:c r="F78" s="14" t="str">
        <x:v>Non Delivery Forward</x:v>
      </x:c>
      <x:c r="G78" s="14" t="str">
        <x:v>Buy</x:v>
      </x:c>
      <x:c r="H78" s="14" t="str">
        <x:v>KRW</x:v>
      </x:c>
      <x:c r="I78" s="6" t="n">
        <x:v>670000000</x:v>
      </x:c>
      <x:c r="J78" s="7" t="n">
        <x:v>1636</x:v>
      </x:c>
      <x:c r="K78" s="14" t="str">
        <x:v>EUR</x:v>
      </x:c>
      <x:c r="L78" s="6" t="n">
        <x:v>-409535.45</x:v>
      </x:c>
      <x:c r="M78" s="6" t="n">
        <x:v>1631.08</x:v>
      </x:c>
      <x:c r="N78" s="6" t="n">
        <x:v>1235.33</x:v>
      </x:c>
      <x:c r="O78" s="6" t="n">
        <x:v>-410770.78</x:v>
      </x:c>
      <x:c r="P78" s="14" t="str">
        <x:v>FX-OP-UDL</x:v>
      </x:c>
      <x:c r="Q78" s="9" t="n">
        <x:f>I78</x:f>
        <x:v>670000000</x:v>
      </x:c>
      <x:c r="R78" s="15" t="n">
        <x:f>L78</x:f>
        <x:v>-409535.45</x:v>
      </x:c>
    </x:row>
    <x:row r="79">
      <x:c r="A79" s="13" t="str">
        <x:v>NDF-105986</x:v>
      </x:c>
      <x:c r="B79" s="14" t="str">
        <x:v>L_6129_DE</x:v>
      </x:c>
      <x:c r="C79" s="14" t="str">
        <x:v>L_0100_LU</x:v>
      </x:c>
      <x:c r="D79" s="14" t="str">
        <x:v>Internal</x:v>
      </x:c>
      <x:c r="E79" s="5" t="n">
        <x:v>46258</x:v>
      </x:c>
      <x:c r="F79" s="14" t="str">
        <x:v>Non Delivery Forward</x:v>
      </x:c>
      <x:c r="G79" s="14" t="str">
        <x:v>Sell</x:v>
      </x:c>
      <x:c r="H79" s="14" t="str">
        <x:v>INR</x:v>
      </x:c>
      <x:c r="I79" s="6" t="n">
        <x:v>-17400000</x:v>
      </x:c>
      <x:c r="J79" s="7" t="n">
        <x:v>110.68</x:v>
      </x:c>
      <x:c r="K79" s="14" t="str">
        <x:v>EUR</x:v>
      </x:c>
      <x:c r="L79" s="6" t="n">
        <x:v>157209.97</x:v>
      </x:c>
      <x:c r="M79" s="6" t="n">
        <x:v>111.7985</x:v>
      </x:c>
      <x:c r="N79" s="6" t="n">
        <x:v>1572.82</x:v>
      </x:c>
      <x:c r="O79" s="6" t="n">
        <x:v>155637.15</x:v>
      </x:c>
      <x:c r="P79" s="14" t="str">
        <x:v>FX-OP-UDL</x:v>
      </x:c>
      <x:c r="Q79" s="9" t="n">
        <x:f>I79</x:f>
        <x:v>-17400000</x:v>
      </x:c>
      <x:c r="R79" s="15" t="n">
        <x:f>L79</x:f>
        <x:v>157209.97</x:v>
      </x:c>
    </x:row>
    <x:row r="80">
      <x:c r="A80" s="13" t="str">
        <x:v>FW-106153</x:v>
      </x:c>
      <x:c r="B80" s="14" t="str">
        <x:v>L_6129_DE</x:v>
      </x:c>
      <x:c r="C80" s="14" t="str">
        <x:v>L_0100_LU</x:v>
      </x:c>
      <x:c r="D80" s="14" t="str">
        <x:v>Internal</x:v>
      </x:c>
      <x:c r="E80" s="5" t="n">
        <x:v>46258</x:v>
      </x:c>
      <x:c r="F80" s="14" t="str">
        <x:v>Forward</x:v>
      </x:c>
      <x:c r="G80" s="14" t="str">
        <x:v>Buy</x:v>
      </x:c>
      <x:c r="H80" s="14" t="str">
        <x:v>USD</x:v>
      </x:c>
      <x:c r="I80" s="6" t="n">
        <x:v>450000</x:v>
      </x:c>
      <x:c r="J80" s="7" t="n">
        <x:v>1.159737</x:v>
      </x:c>
      <x:c r="K80" s="14" t="str">
        <x:v>EUR</x:v>
      </x:c>
      <x:c r="L80" s="6" t="n">
        <x:v>-388019.01</x:v>
      </x:c>
      <x:c r="M80" s="6" t="n">
        <x:v>1.1681</x:v>
      </x:c>
      <x:c r="N80" s="6" t="n">
        <x:v>-2778.02</x:v>
      </x:c>
      <x:c r="O80" s="6" t="n">
        <x:v>-385240.99</x:v>
      </x:c>
      <x:c r="P80" s="14" t="str">
        <x:v>FX-OP-UDL</x:v>
      </x:c>
      <x:c r="Q80" s="9" t="n">
        <x:f>I80</x:f>
        <x:v>450000</x:v>
      </x:c>
      <x:c r="R80" s="15" t="n">
        <x:f>L80</x:f>
        <x:v>-388019.01</x:v>
      </x:c>
    </x:row>
    <x:row r="81">
      <x:c r="A81" s="13" t="str">
        <x:v>FW-105686</x:v>
      </x:c>
      <x:c r="B81" s="14" t="str">
        <x:v>L_6207_CZ</x:v>
      </x:c>
      <x:c r="C81" s="14" t="str">
        <x:v>L_0100_LU</x:v>
      </x:c>
      <x:c r="D81" s="14" t="str">
        <x:v>Internal</x:v>
      </x:c>
      <x:c r="E81" s="5" t="n">
        <x:v>46258</x:v>
      </x:c>
      <x:c r="F81" s="14" t="str">
        <x:v>Forward</x:v>
      </x:c>
      <x:c r="G81" s="14" t="str">
        <x:v>Buy</x:v>
      </x:c>
      <x:c r="H81" s="14" t="str">
        <x:v>CNY</x:v>
      </x:c>
      <x:c r="I81" s="6" t="n">
        <x:v>2800000</x:v>
      </x:c>
      <x:c r="J81" s="7" t="n">
        <x:v>3.14639</x:v>
      </x:c>
      <x:c r="K81" s="14" t="str">
        <x:v>CZK</x:v>
      </x:c>
      <x:c r="L81" s="6" t="n">
        <x:v>-8809892</x:v>
      </x:c>
      <x:c r="M81" s="6" t="n">
        <x:v>3.075327</x:v>
      </x:c>
      <x:c r="N81" s="6" t="n">
        <x:v>-8238.21</x:v>
      </x:c>
      <x:c r="O81" s="6" t="n">
        <x:v>-8610914.46</x:v>
      </x:c>
      <x:c r="P81" s="14" t="str">
        <x:v>FX-OP-UDL</x:v>
      </x:c>
      <x:c r="Q81" s="9" t="n">
        <x:f>I81</x:f>
        <x:v>2800000</x:v>
      </x:c>
      <x:c r="R81" s="15" t="n">
        <x:f>L81</x:f>
        <x:v>-8809892</x:v>
      </x:c>
    </x:row>
    <x:row r="82">
      <x:c r="A82" s="13" t="str">
        <x:v>FW-105528</x:v>
      </x:c>
      <x:c r="B82" s="14" t="str">
        <x:v>L_6209_HU</x:v>
      </x:c>
      <x:c r="C82" s="14" t="str">
        <x:v>L_0100_LU</x:v>
      </x:c>
      <x:c r="D82" s="14" t="str">
        <x:v>Internal</x:v>
      </x:c>
      <x:c r="E82" s="5" t="n">
        <x:v>46258</x:v>
      </x:c>
      <x:c r="F82" s="14" t="str">
        <x:v>Forward</x:v>
      </x:c>
      <x:c r="G82" s="14" t="str">
        <x:v>Buy</x:v>
      </x:c>
      <x:c r="H82" s="14" t="str">
        <x:v>EUR</x:v>
      </x:c>
      <x:c r="I82" s="6" t="n">
        <x:v>150000</x:v>
      </x:c>
      <x:c r="J82" s="7" t="n">
        <x:v>365.46</x:v>
      </x:c>
      <x:c r="K82" s="14" t="str">
        <x:v>HUF</x:v>
      </x:c>
      <x:c r="L82" s="6" t="n">
        <x:v>-54819000</x:v>
      </x:c>
      <x:c r="M82" s="6" t="n">
        <x:v>365.1</x:v>
      </x:c>
      <x:c r="N82" s="6" t="n">
        <x:v>-147.9</x:v>
      </x:c>
      <x:c r="O82" s="6" t="n">
        <x:v>-54765000</x:v>
      </x:c>
      <x:c r="P82" s="14" t="str">
        <x:v>FX-OP-UDL</x:v>
      </x:c>
      <x:c r="Q82" s="9" t="n">
        <x:f>I82</x:f>
        <x:v>150000</x:v>
      </x:c>
      <x:c r="R82" s="15" t="n">
        <x:f>L82</x:f>
        <x:v>-54819000</x:v>
      </x:c>
    </x:row>
    <x:row r="83">
      <x:c r="A83" s="13" t="str">
        <x:v>FW-105953</x:v>
      </x:c>
      <x:c r="B83" s="14" t="str">
        <x:v>L_6211_NL</x:v>
      </x:c>
      <x:c r="C83" s="14" t="str">
        <x:v>L_0100_LU</x:v>
      </x:c>
      <x:c r="D83" s="14" t="str">
        <x:v>Internal</x:v>
      </x:c>
      <x:c r="E83" s="5" t="n">
        <x:v>46258</x:v>
      </x:c>
      <x:c r="F83" s="14" t="str">
        <x:v>Forward</x:v>
      </x:c>
      <x:c r="G83" s="14" t="str">
        <x:v>Buy</x:v>
      </x:c>
      <x:c r="H83" s="14" t="str">
        <x:v>USD</x:v>
      </x:c>
      <x:c r="I83" s="6" t="n">
        <x:v>140000</x:v>
      </x:c>
      <x:c r="J83" s="7" t="n">
        <x:v>1.155252</x:v>
      </x:c>
      <x:c r="K83" s="14" t="str">
        <x:v>EUR</x:v>
      </x:c>
      <x:c r="L83" s="6" t="n">
        <x:v>-121185.68</x:v>
      </x:c>
      <x:c r="M83" s="6" t="n">
        <x:v>1.1681</x:v>
      </x:c>
      <x:c r="N83" s="6" t="n">
        <x:v>-1332.93</x:v>
      </x:c>
      <x:c r="O83" s="6" t="n">
        <x:v>-119852.75</x:v>
      </x:c>
      <x:c r="P83" s="14" t="str">
        <x:v>FX-OP-UDL</x:v>
      </x:c>
      <x:c r="Q83" s="9" t="n">
        <x:f>I83</x:f>
        <x:v>140000</x:v>
      </x:c>
      <x:c r="R83" s="15" t="n">
        <x:f>L83</x:f>
        <x:v>-121185.68</x:v>
      </x:c>
    </x:row>
    <x:row r="84">
      <x:c r="A84" s="13" t="str">
        <x:v>FW-105327</x:v>
      </x:c>
      <x:c r="B84" s="14" t="str">
        <x:v>L_6218_IT</x:v>
      </x:c>
      <x:c r="C84" s="14" t="str">
        <x:v>L_0100_LU</x:v>
      </x:c>
      <x:c r="D84" s="14" t="str">
        <x:v>Internal</x:v>
      </x:c>
      <x:c r="E84" s="5" t="n">
        <x:v>46258</x:v>
      </x:c>
      <x:c r="F84" s="14" t="str">
        <x:v>Forward</x:v>
      </x:c>
      <x:c r="G84" s="14" t="str">
        <x:v>Buy</x:v>
      </x:c>
      <x:c r="H84" s="14" t="str">
        <x:v>USD</x:v>
      </x:c>
      <x:c r="I84" s="6" t="n">
        <x:v>130000</x:v>
      </x:c>
      <x:c r="J84" s="7" t="n">
        <x:v>1.142322</x:v>
      </x:c>
      <x:c r="K84" s="14" t="str">
        <x:v>EUR</x:v>
      </x:c>
      <x:c r="L84" s="6" t="n">
        <x:v>-113803.29</x:v>
      </x:c>
      <x:c r="M84" s="6" t="n">
        <x:v>1.1681</x:v>
      </x:c>
      <x:c r="N84" s="6" t="n">
        <x:v>-2511.45</x:v>
      </x:c>
      <x:c r="O84" s="6" t="n">
        <x:v>-111291.84</x:v>
      </x:c>
      <x:c r="P84" s="14" t="str">
        <x:v>FX-OP-UDL</x:v>
      </x:c>
      <x:c r="Q84" s="9" t="n">
        <x:f>I84</x:f>
        <x:v>130000</x:v>
      </x:c>
      <x:c r="R84" s="15" t="n">
        <x:f>L84</x:f>
        <x:v>-113803.29</x:v>
      </x:c>
    </x:row>
    <x:row r="85">
      <x:c r="A85" s="13" t="str">
        <x:v>FW-105728</x:v>
      </x:c>
      <x:c r="B85" s="14" t="str">
        <x:v>L_6218_IT</x:v>
      </x:c>
      <x:c r="C85" s="14" t="str">
        <x:v>L_0100_LU</x:v>
      </x:c>
      <x:c r="D85" s="14" t="str">
        <x:v>Internal</x:v>
      </x:c>
      <x:c r="E85" s="5" t="n">
        <x:v>46258</x:v>
      </x:c>
      <x:c r="F85" s="14" t="str">
        <x:v>Forward</x:v>
      </x:c>
      <x:c r="G85" s="14" t="str">
        <x:v>Sell</x:v>
      </x:c>
      <x:c r="H85" s="14" t="str">
        <x:v>USD</x:v>
      </x:c>
      <x:c r="I85" s="6" t="n">
        <x:v>-130000</x:v>
      </x:c>
      <x:c r="J85" s="7" t="n">
        <x:v>1.138</x:v>
      </x:c>
      <x:c r="K85" s="14" t="str">
        <x:v>EUR</x:v>
      </x:c>
      <x:c r="L85" s="6" t="n">
        <x:v>114235.5</x:v>
      </x:c>
      <x:c r="M85" s="6" t="n">
        <x:v>1.1681</x:v>
      </x:c>
      <x:c r="N85" s="6" t="n">
        <x:v>2943.66</x:v>
      </x:c>
      <x:c r="O85" s="6" t="n">
        <x:v>111291.84</x:v>
      </x:c>
      <x:c r="P85" s="14" t="str">
        <x:v>FX-OP-UDL</x:v>
      </x:c>
      <x:c r="Q85" s="9" t="n">
        <x:f>I85</x:f>
        <x:v>-130000</x:v>
      </x:c>
      <x:c r="R85" s="15" t="n">
        <x:f>L85</x:f>
        <x:v>114235.5</x:v>
      </x:c>
    </x:row>
    <x:row r="86">
      <x:c r="A86" s="13" t="str">
        <x:v>FW-105311</x:v>
      </x:c>
      <x:c r="B86" s="14" t="str">
        <x:v>L_6221_AT</x:v>
      </x:c>
      <x:c r="C86" s="14" t="str">
        <x:v>L_0100_LU</x:v>
      </x:c>
      <x:c r="D86" s="14" t="str">
        <x:v>Internal</x:v>
      </x:c>
      <x:c r="E86" s="5" t="n">
        <x:v>46258</x:v>
      </x:c>
      <x:c r="F86" s="14" t="str">
        <x:v>Forward</x:v>
      </x:c>
      <x:c r="G86" s="14" t="str">
        <x:v>Buy</x:v>
      </x:c>
      <x:c r="H86" s="14" t="str">
        <x:v>CNY</x:v>
      </x:c>
      <x:c r="I86" s="6" t="n">
        <x:v>400000</x:v>
      </x:c>
      <x:c r="J86" s="7" t="n">
        <x:v>7.70405</x:v>
      </x:c>
      <x:c r="K86" s="14" t="str">
        <x:v>EUR</x:v>
      </x:c>
      <x:c r="L86" s="6" t="n">
        <x:v>-51920.74</x:v>
      </x:c>
      <x:c r="M86" s="6" t="n">
        <x:v>7.8538</x:v>
      </x:c>
      <x:c r="N86" s="6" t="n">
        <x:v>-989.98</x:v>
      </x:c>
      <x:c r="O86" s="6" t="n">
        <x:v>-50930.76</x:v>
      </x:c>
      <x:c r="P86" s="14" t="str">
        <x:v>FX-OP-UDL</x:v>
      </x:c>
      <x:c r="Q86" s="9" t="n">
        <x:f>I86</x:f>
        <x:v>400000</x:v>
      </x:c>
      <x:c r="R86" s="15" t="n">
        <x:f>L86</x:f>
        <x:v>-51920.74</x:v>
      </x:c>
    </x:row>
    <x:row r="87">
      <x:c r="A87" s="13" t="str">
        <x:v>FW-105531</x:v>
      </x:c>
      <x:c r="B87" s="14" t="str">
        <x:v>L_6221_AT</x:v>
      </x:c>
      <x:c r="C87" s="14" t="str">
        <x:v>L_0100_LU</x:v>
      </x:c>
      <x:c r="D87" s="14" t="str">
        <x:v>Internal</x:v>
      </x:c>
      <x:c r="E87" s="5" t="n">
        <x:v>46258</x:v>
      </x:c>
      <x:c r="F87" s="14" t="str">
        <x:v>Forward</x:v>
      </x:c>
      <x:c r="G87" s="14" t="str">
        <x:v>Buy</x:v>
      </x:c>
      <x:c r="H87" s="14" t="str">
        <x:v>CNY</x:v>
      </x:c>
      <x:c r="I87" s="6" t="n">
        <x:v>600000</x:v>
      </x:c>
      <x:c r="J87" s="7" t="n">
        <x:v>7.7066</x:v>
      </x:c>
      <x:c r="K87" s="14" t="str">
        <x:v>EUR</x:v>
      </x:c>
      <x:c r="L87" s="6" t="n">
        <x:v>-77855.34</x:v>
      </x:c>
      <x:c r="M87" s="6" t="n">
        <x:v>7.8538</x:v>
      </x:c>
      <x:c r="N87" s="6" t="n">
        <x:v>-1459.21</x:v>
      </x:c>
      <x:c r="O87" s="6" t="n">
        <x:v>-76396.14</x:v>
      </x:c>
      <x:c r="P87" s="14" t="str">
        <x:v>FX-OP-UDL</x:v>
      </x:c>
      <x:c r="Q87" s="9" t="n">
        <x:f>I87</x:f>
        <x:v>600000</x:v>
      </x:c>
      <x:c r="R87" s="15" t="n">
        <x:f>L87</x:f>
        <x:v>-77855.34</x:v>
      </x:c>
    </x:row>
    <x:row r="88">
      <x:c r="A88" s="13" t="str">
        <x:v>NDF-105645</x:v>
      </x:c>
      <x:c r="B88" s="14" t="str">
        <x:v>L_6221_AT</x:v>
      </x:c>
      <x:c r="C88" s="14" t="str">
        <x:v>L_0100_LU</x:v>
      </x:c>
      <x:c r="D88" s="14" t="str">
        <x:v>Internal</x:v>
      </x:c>
      <x:c r="E88" s="5" t="n">
        <x:v>46258</x:v>
      </x:c>
      <x:c r="F88" s="14" t="str">
        <x:v>Non Delivery Forward</x:v>
      </x:c>
      <x:c r="G88" s="14" t="str">
        <x:v>Buy</x:v>
      </x:c>
      <x:c r="H88" s="14" t="str">
        <x:v>INR</x:v>
      </x:c>
      <x:c r="I88" s="6" t="n">
        <x:v>10000000</x:v>
      </x:c>
      <x:c r="J88" s="7" t="n">
        <x:v>108.69</x:v>
      </x:c>
      <x:c r="K88" s="14" t="str">
        <x:v>EUR</x:v>
      </x:c>
      <x:c r="L88" s="6" t="n">
        <x:v>-92004.78</x:v>
      </x:c>
      <x:c r="M88" s="6" t="n">
        <x:v>111.7985</x:v>
      </x:c>
      <x:c r="N88" s="6" t="n">
        <x:v>-2558.15</x:v>
      </x:c>
      <x:c r="O88" s="6" t="n">
        <x:v>-89446.64</x:v>
      </x:c>
      <x:c r="P88" s="14" t="str">
        <x:v>FX-OP-UDL</x:v>
      </x:c>
      <x:c r="Q88" s="9" t="n">
        <x:f>I88</x:f>
        <x:v>10000000</x:v>
      </x:c>
      <x:c r="R88" s="15" t="n">
        <x:f>L88</x:f>
        <x:v>-92004.78</x:v>
      </x:c>
    </x:row>
    <x:row r="89">
      <x:c r="A89" s="13" t="str">
        <x:v>NDF-105680</x:v>
      </x:c>
      <x:c r="B89" s="14" t="str">
        <x:v>L_6221_AT</x:v>
      </x:c>
      <x:c r="C89" s="14" t="str">
        <x:v>L_0100_LU</x:v>
      </x:c>
      <x:c r="D89" s="14" t="str">
        <x:v>Internal</x:v>
      </x:c>
      <x:c r="E89" s="5" t="n">
        <x:v>46258</x:v>
      </x:c>
      <x:c r="F89" s="14" t="str">
        <x:v>Non Delivery Forward</x:v>
      </x:c>
      <x:c r="G89" s="14" t="str">
        <x:v>Buy</x:v>
      </x:c>
      <x:c r="H89" s="14" t="str">
        <x:v>INR</x:v>
      </x:c>
      <x:c r="I89" s="6" t="n">
        <x:v>9000000</x:v>
      </x:c>
      <x:c r="J89" s="7" t="n">
        <x:v>108.74</x:v>
      </x:c>
      <x:c r="K89" s="14" t="str">
        <x:v>EUR</x:v>
      </x:c>
      <x:c r="L89" s="6" t="n">
        <x:v>-82766.23</x:v>
      </x:c>
      <x:c r="M89" s="6" t="n">
        <x:v>111.7985</x:v>
      </x:c>
      <x:c r="N89" s="6" t="n">
        <x:v>-2264.26</x:v>
      </x:c>
      <x:c r="O89" s="6" t="n">
        <x:v>-80501.97</x:v>
      </x:c>
      <x:c r="P89" s="14" t="str">
        <x:v>FX-OP-UDL</x:v>
      </x:c>
      <x:c r="Q89" s="9" t="n">
        <x:f>I89</x:f>
        <x:v>9000000</x:v>
      </x:c>
      <x:c r="R89" s="15" t="n">
        <x:f>L89</x:f>
        <x:v>-82766.23</x:v>
      </x:c>
    </x:row>
    <x:row r="90">
      <x:c r="A90" s="13" t="str">
        <x:v>NDF-105713</x:v>
      </x:c>
      <x:c r="B90" s="14" t="str">
        <x:v>L_6221_AT</x:v>
      </x:c>
      <x:c r="C90" s="14" t="str">
        <x:v>L_0100_LU</x:v>
      </x:c>
      <x:c r="D90" s="14" t="str">
        <x:v>Internal</x:v>
      </x:c>
      <x:c r="E90" s="5" t="n">
        <x:v>46258</x:v>
      </x:c>
      <x:c r="F90" s="14" t="str">
        <x:v>Non Delivery Forward</x:v>
      </x:c>
      <x:c r="G90" s="14" t="str">
        <x:v>Buy</x:v>
      </x:c>
      <x:c r="H90" s="14" t="str">
        <x:v>INR</x:v>
      </x:c>
      <x:c r="I90" s="6" t="n">
        <x:v>10000000</x:v>
      </x:c>
      <x:c r="J90" s="7" t="n">
        <x:v>109.51</x:v>
      </x:c>
      <x:c r="K90" s="14" t="str">
        <x:v>EUR</x:v>
      </x:c>
      <x:c r="L90" s="6" t="n">
        <x:v>-91315.86</x:v>
      </x:c>
      <x:c r="M90" s="6" t="n">
        <x:v>111.7985</x:v>
      </x:c>
      <x:c r="N90" s="6" t="n">
        <x:v>-1869.22</x:v>
      </x:c>
      <x:c r="O90" s="6" t="n">
        <x:v>-89446.64</x:v>
      </x:c>
      <x:c r="P90" s="14" t="str">
        <x:v>FX-OP-UDL</x:v>
      </x:c>
      <x:c r="Q90" s="9" t="n">
        <x:f>I90</x:f>
        <x:v>10000000</x:v>
      </x:c>
      <x:c r="R90" s="15" t="n">
        <x:f>L90</x:f>
        <x:v>-91315.86</x:v>
      </x:c>
    </x:row>
    <x:row r="91">
      <x:c r="A91" s="13" t="str">
        <x:v>FW-105730</x:v>
      </x:c>
      <x:c r="B91" s="14" t="str">
        <x:v>L_6221_AT</x:v>
      </x:c>
      <x:c r="C91" s="14" t="str">
        <x:v>L_0100_LU</x:v>
      </x:c>
      <x:c r="D91" s="14" t="str">
        <x:v>Internal</x:v>
      </x:c>
      <x:c r="E91" s="5" t="n">
        <x:v>46258</x:v>
      </x:c>
      <x:c r="F91" s="14" t="str">
        <x:v>Forward</x:v>
      </x:c>
      <x:c r="G91" s="14" t="str">
        <x:v>Buy</x:v>
      </x:c>
      <x:c r="H91" s="14" t="str">
        <x:v>USD</x:v>
      </x:c>
      <x:c r="I91" s="6" t="n">
        <x:v>130000</x:v>
      </x:c>
      <x:c r="J91" s="7" t="n">
        <x:v>1.138</x:v>
      </x:c>
      <x:c r="K91" s="14" t="str">
        <x:v>EUR</x:v>
      </x:c>
      <x:c r="L91" s="6" t="n">
        <x:v>-114235.5</x:v>
      </x:c>
      <x:c r="M91" s="6" t="n">
        <x:v>1.1681</x:v>
      </x:c>
      <x:c r="N91" s="6" t="n">
        <x:v>-2943.66</x:v>
      </x:c>
      <x:c r="O91" s="6" t="n">
        <x:v>-111291.84</x:v>
      </x:c>
      <x:c r="P91" s="14" t="str">
        <x:v>FX-OP-UDL</x:v>
      </x:c>
      <x:c r="Q91" s="9" t="n">
        <x:f>I91</x:f>
        <x:v>130000</x:v>
      </x:c>
      <x:c r="R91" s="15" t="n">
        <x:f>L91</x:f>
        <x:v>-114235.5</x:v>
      </x:c>
    </x:row>
    <x:row r="92">
      <x:c r="A92" s="13" t="str">
        <x:v>NDF-105984</x:v>
      </x:c>
      <x:c r="B92" s="14" t="str">
        <x:v>L_6221_AT</x:v>
      </x:c>
      <x:c r="C92" s="14" t="str">
        <x:v>L_0100_LU</x:v>
      </x:c>
      <x:c r="D92" s="14" t="str">
        <x:v>Internal</x:v>
      </x:c>
      <x:c r="E92" s="5" t="n">
        <x:v>46258</x:v>
      </x:c>
      <x:c r="F92" s="14" t="str">
        <x:v>Non Delivery Forward</x:v>
      </x:c>
      <x:c r="G92" s="14" t="str">
        <x:v>Sell</x:v>
      </x:c>
      <x:c r="H92" s="14" t="str">
        <x:v>INR</x:v>
      </x:c>
      <x:c r="I92" s="6" t="n">
        <x:v>-18600000</x:v>
      </x:c>
      <x:c r="J92" s="7" t="n">
        <x:v>110.68</x:v>
      </x:c>
      <x:c r="K92" s="14" t="str">
        <x:v>EUR</x:v>
      </x:c>
      <x:c r="L92" s="6" t="n">
        <x:v>168052.04</x:v>
      </x:c>
      <x:c r="M92" s="6" t="n">
        <x:v>111.7985</x:v>
      </x:c>
      <x:c r="N92" s="6" t="n">
        <x:v>1681.29</x:v>
      </x:c>
      <x:c r="O92" s="6" t="n">
        <x:v>166370.75</x:v>
      </x:c>
      <x:c r="P92" s="14" t="str">
        <x:v>FX-OP-UDL</x:v>
      </x:c>
      <x:c r="Q92" s="9" t="n">
        <x:f>I92</x:f>
        <x:v>-18600000</x:v>
      </x:c>
      <x:c r="R92" s="15" t="n">
        <x:f>L92</x:f>
        <x:v>168052.04</x:v>
      </x:c>
    </x:row>
    <x:row r="93">
      <x:c r="A93" s="13" t="str">
        <x:v>FW-105152</x:v>
      </x:c>
      <x:c r="B93" s="14" t="str">
        <x:v>L_6416_CN</x:v>
      </x:c>
      <x:c r="C93" s="14" t="str">
        <x:v>L_0100_LU</x:v>
      </x:c>
      <x:c r="D93" s="14" t="str">
        <x:v>Internal</x:v>
      </x:c>
      <x:c r="E93" s="5" t="n">
        <x:v>46258</x:v>
      </x:c>
      <x:c r="F93" s="14" t="str">
        <x:v>Forward</x:v>
      </x:c>
      <x:c r="G93" s="14" t="str">
        <x:v>Sell</x:v>
      </x:c>
      <x:c r="H93" s="14" t="str">
        <x:v>CNY</x:v>
      </x:c>
      <x:c r="I93" s="6" t="n">
        <x:v>-600000</x:v>
      </x:c>
      <x:c r="J93" s="7" t="n">
        <x:v>7.7411</x:v>
      </x:c>
      <x:c r="K93" s="14" t="str">
        <x:v>EUR</x:v>
      </x:c>
      <x:c r="L93" s="6" t="n">
        <x:v>77508.36</x:v>
      </x:c>
      <x:c r="M93" s="6" t="n">
        <x:v>7.8538</x:v>
      </x:c>
      <x:c r="N93" s="6" t="n">
        <x:v>1112.22</x:v>
      </x:c>
      <x:c r="O93" s="6" t="n">
        <x:v>76396.14</x:v>
      </x:c>
      <x:c r="P93" s="14" t="str">
        <x:v>FX-OP-UDL</x:v>
      </x:c>
      <x:c r="Q93" s="9" t="n">
        <x:f>I93</x:f>
        <x:v>-600000</x:v>
      </x:c>
      <x:c r="R93" s="15" t="n">
        <x:f>L93</x:f>
        <x:v>77508.36</x:v>
      </x:c>
    </x:row>
    <x:row r="94">
      <x:c r="A94" s="13" t="str">
        <x:v>FW-105313</x:v>
      </x:c>
      <x:c r="B94" s="14" t="str">
        <x:v>L_6416_CN</x:v>
      </x:c>
      <x:c r="C94" s="14" t="str">
        <x:v>L_0100_LU</x:v>
      </x:c>
      <x:c r="D94" s="14" t="str">
        <x:v>Internal</x:v>
      </x:c>
      <x:c r="E94" s="5" t="n">
        <x:v>46258</x:v>
      </x:c>
      <x:c r="F94" s="14" t="str">
        <x:v>Forward</x:v>
      </x:c>
      <x:c r="G94" s="14" t="str">
        <x:v>Sell</x:v>
      </x:c>
      <x:c r="H94" s="14" t="str">
        <x:v>CNY</x:v>
      </x:c>
      <x:c r="I94" s="6" t="n">
        <x:v>-700000</x:v>
      </x:c>
      <x:c r="J94" s="7" t="n">
        <x:v>7.70405</x:v>
      </x:c>
      <x:c r="K94" s="14" t="str">
        <x:v>EUR</x:v>
      </x:c>
      <x:c r="L94" s="6" t="n">
        <x:v>90861.3</x:v>
      </x:c>
      <x:c r="M94" s="6" t="n">
        <x:v>7.8538</x:v>
      </x:c>
      <x:c r="N94" s="6" t="n">
        <x:v>1732.47</x:v>
      </x:c>
      <x:c r="O94" s="6" t="n">
        <x:v>89128.83</x:v>
      </x:c>
      <x:c r="P94" s="14" t="str">
        <x:v>FX-OP-UDL</x:v>
      </x:c>
      <x:c r="Q94" s="9" t="n">
        <x:f>I94</x:f>
        <x:v>-700000</x:v>
      </x:c>
      <x:c r="R94" s="15" t="n">
        <x:f>L94</x:f>
        <x:v>90861.3</x:v>
      </x:c>
    </x:row>
    <x:row r="95">
      <x:c r="A95" s="13" t="str">
        <x:v>FW-105350</x:v>
      </x:c>
      <x:c r="B95" s="14" t="str">
        <x:v>L_6416_CN</x:v>
      </x:c>
      <x:c r="C95" s="14" t="str">
        <x:v>L_0100_LU</x:v>
      </x:c>
      <x:c r="D95" s="14" t="str">
        <x:v>Internal</x:v>
      </x:c>
      <x:c r="E95" s="5" t="n">
        <x:v>46258</x:v>
      </x:c>
      <x:c r="F95" s="14" t="str">
        <x:v>Forward</x:v>
      </x:c>
      <x:c r="G95" s="14" t="str">
        <x:v>Sell</x:v>
      </x:c>
      <x:c r="H95" s="14" t="str">
        <x:v>CNY</x:v>
      </x:c>
      <x:c r="I95" s="6" t="n">
        <x:v>-900000</x:v>
      </x:c>
      <x:c r="J95" s="7" t="n">
        <x:v>7.74765</x:v>
      </x:c>
      <x:c r="K95" s="14" t="str">
        <x:v>EUR</x:v>
      </x:c>
      <x:c r="L95" s="6" t="n">
        <x:v>116164.26</x:v>
      </x:c>
      <x:c r="M95" s="6" t="n">
        <x:v>7.8538</x:v>
      </x:c>
      <x:c r="N95" s="6" t="n">
        <x:v>1570.05</x:v>
      </x:c>
      <x:c r="O95" s="6" t="n">
        <x:v>114594.21</x:v>
      </x:c>
      <x:c r="P95" s="14" t="str">
        <x:v>FX-OP-UDL</x:v>
      </x:c>
      <x:c r="Q95" s="9" t="n">
        <x:f>I95</x:f>
        <x:v>-900000</x:v>
      </x:c>
      <x:c r="R95" s="15" t="n">
        <x:f>L95</x:f>
        <x:v>116164.26</x:v>
      </x:c>
    </x:row>
    <x:row r="96">
      <x:c r="A96" s="13" t="str">
        <x:v>FW-105447</x:v>
      </x:c>
      <x:c r="B96" s="14" t="str">
        <x:v>L_6416_CN</x:v>
      </x:c>
      <x:c r="C96" s="14" t="str">
        <x:v>L_0100_LU</x:v>
      </x:c>
      <x:c r="D96" s="14" t="str">
        <x:v>Internal</x:v>
      </x:c>
      <x:c r="E96" s="5" t="n">
        <x:v>46258</x:v>
      </x:c>
      <x:c r="F96" s="14" t="str">
        <x:v>Forward</x:v>
      </x:c>
      <x:c r="G96" s="14" t="str">
        <x:v>Buy</x:v>
      </x:c>
      <x:c r="H96" s="14" t="str">
        <x:v>CNY</x:v>
      </x:c>
      <x:c r="I96" s="6" t="n">
        <x:v>800000</x:v>
      </x:c>
      <x:c r="J96" s="7" t="n">
        <x:v>7.71601</x:v>
      </x:c>
      <x:c r="K96" s="14" t="str">
        <x:v>EUR</x:v>
      </x:c>
      <x:c r="L96" s="6" t="n">
        <x:v>-103680.53</x:v>
      </x:c>
      <x:c r="M96" s="6" t="n">
        <x:v>7.8538</x:v>
      </x:c>
      <x:c r="N96" s="6" t="n">
        <x:v>-1819.01</x:v>
      </x:c>
      <x:c r="O96" s="6" t="n">
        <x:v>-101861.52</x:v>
      </x:c>
      <x:c r="P96" s="14" t="str">
        <x:v>FX-OP-UDL</x:v>
      </x:c>
      <x:c r="Q96" s="9" t="n">
        <x:f>I96</x:f>
        <x:v>800000</x:v>
      </x:c>
      <x:c r="R96" s="15" t="n">
        <x:f>L96</x:f>
        <x:v>-103680.53</x:v>
      </x:c>
    </x:row>
    <x:row r="97">
      <x:c r="A97" s="13" t="str">
        <x:v>FW-105636</x:v>
      </x:c>
      <x:c r="B97" s="14" t="str">
        <x:v>L_6416_CN</x:v>
      </x:c>
      <x:c r="C97" s="14" t="str">
        <x:v>L_0100_LU</x:v>
      </x:c>
      <x:c r="D97" s="14" t="str">
        <x:v>Internal</x:v>
      </x:c>
      <x:c r="E97" s="5" t="n">
        <x:v>46258</x:v>
      </x:c>
      <x:c r="F97" s="14" t="str">
        <x:v>Forward</x:v>
      </x:c>
      <x:c r="G97" s="14" t="str">
        <x:v>Sell</x:v>
      </x:c>
      <x:c r="H97" s="14" t="str">
        <x:v>CNY</x:v>
      </x:c>
      <x:c r="I97" s="6" t="n">
        <x:v>-1000000</x:v>
      </x:c>
      <x:c r="J97" s="7" t="n">
        <x:v>7.6709</x:v>
      </x:c>
      <x:c r="K97" s="14" t="str">
        <x:v>EUR</x:v>
      </x:c>
      <x:c r="L97" s="6" t="n">
        <x:v>130362.8</x:v>
      </x:c>
      <x:c r="M97" s="6" t="n">
        <x:v>7.8538</x:v>
      </x:c>
      <x:c r="N97" s="6" t="n">
        <x:v>3035.9</x:v>
      </x:c>
      <x:c r="O97" s="6" t="n">
        <x:v>127326.9</x:v>
      </x:c>
      <x:c r="P97" s="14" t="str">
        <x:v>FX-OP-UDL</x:v>
      </x:c>
      <x:c r="Q97" s="9" t="n">
        <x:f>I97</x:f>
        <x:v>-1000000</x:v>
      </x:c>
      <x:c r="R97" s="15" t="n">
        <x:f>L97</x:f>
        <x:v>130362.8</x:v>
      </x:c>
    </x:row>
    <x:row r="98">
      <x:c r="A98" s="13" t="str">
        <x:v>FW-105743</x:v>
      </x:c>
      <x:c r="B98" s="14" t="str">
        <x:v>L_6416_CN</x:v>
      </x:c>
      <x:c r="C98" s="14" t="str">
        <x:v>L_0100_LU</x:v>
      </x:c>
      <x:c r="D98" s="14" t="str">
        <x:v>Internal</x:v>
      </x:c>
      <x:c r="E98" s="5" t="n">
        <x:v>46258</x:v>
      </x:c>
      <x:c r="F98" s="14" t="str">
        <x:v>Forward</x:v>
      </x:c>
      <x:c r="G98" s="14" t="str">
        <x:v>Sell</x:v>
      </x:c>
      <x:c r="H98" s="14" t="str">
        <x:v>CNY</x:v>
      </x:c>
      <x:c r="I98" s="6" t="n">
        <x:v>-1000000</x:v>
      </x:c>
      <x:c r="J98" s="7" t="n">
        <x:v>7.7362</x:v>
      </x:c>
      <x:c r="K98" s="14" t="str">
        <x:v>EUR</x:v>
      </x:c>
      <x:c r="L98" s="6" t="n">
        <x:v>129262.43</x:v>
      </x:c>
      <x:c r="M98" s="6" t="n">
        <x:v>7.8538</x:v>
      </x:c>
      <x:c r="N98" s="6" t="n">
        <x:v>1935.53</x:v>
      </x:c>
      <x:c r="O98" s="6" t="n">
        <x:v>127326.9</x:v>
      </x:c>
      <x:c r="P98" s="14" t="str">
        <x:v>FX-OP-UDL</x:v>
      </x:c>
      <x:c r="Q98" s="9" t="n">
        <x:f>I98</x:f>
        <x:v>-1000000</x:v>
      </x:c>
      <x:c r="R98" s="15" t="n">
        <x:f>L98</x:f>
        <x:v>129262.43</x:v>
      </x:c>
    </x:row>
    <x:row r="99">
      <x:c r="A99" s="13" t="str">
        <x:v>FW-105094</x:v>
      </x:c>
      <x:c r="B99" s="14" t="str">
        <x:v>L_6418_CN</x:v>
      </x:c>
      <x:c r="C99" s="14" t="str">
        <x:v>L_0100_LU</x:v>
      </x:c>
      <x:c r="D99" s="14" t="str">
        <x:v>Internal</x:v>
      </x:c>
      <x:c r="E99" s="5" t="n">
        <x:v>46258</x:v>
      </x:c>
      <x:c r="F99" s="14" t="str">
        <x:v>Forward</x:v>
      </x:c>
      <x:c r="G99" s="14" t="str">
        <x:v>Sell</x:v>
      </x:c>
      <x:c r="H99" s="14" t="str">
        <x:v>CNY</x:v>
      </x:c>
      <x:c r="I99" s="6" t="n">
        <x:v>-500000</x:v>
      </x:c>
      <x:c r="J99" s="7" t="n">
        <x:v>7.7235</x:v>
      </x:c>
      <x:c r="K99" s="14" t="str">
        <x:v>EUR</x:v>
      </x:c>
      <x:c r="L99" s="6" t="n">
        <x:v>64737.49</x:v>
      </x:c>
      <x:c r="M99" s="6" t="n">
        <x:v>7.8538</x:v>
      </x:c>
      <x:c r="N99" s="6" t="n">
        <x:v>1074.04</x:v>
      </x:c>
      <x:c r="O99" s="6" t="n">
        <x:v>63663.45</x:v>
      </x:c>
      <x:c r="P99" s="14" t="str">
        <x:v>FX-OP-UDL</x:v>
      </x:c>
      <x:c r="Q99" s="9" t="n">
        <x:f>I99</x:f>
        <x:v>-500000</x:v>
      </x:c>
      <x:c r="R99" s="15" t="n">
        <x:f>L99</x:f>
        <x:v>64737.49</x:v>
      </x:c>
    </x:row>
    <x:row r="100">
      <x:c r="A100" s="13" t="str">
        <x:v>FW-105154</x:v>
      </x:c>
      <x:c r="B100" s="14" t="str">
        <x:v>L_6418_CN</x:v>
      </x:c>
      <x:c r="C100" s="14" t="str">
        <x:v>L_0100_LU</x:v>
      </x:c>
      <x:c r="D100" s="14" t="str">
        <x:v>Internal</x:v>
      </x:c>
      <x:c r="E100" s="5" t="n">
        <x:v>46258</x:v>
      </x:c>
      <x:c r="F100" s="14" t="str">
        <x:v>Forward</x:v>
      </x:c>
      <x:c r="G100" s="14" t="str">
        <x:v>Sell</x:v>
      </x:c>
      <x:c r="H100" s="14" t="str">
        <x:v>CNY</x:v>
      </x:c>
      <x:c r="I100" s="6" t="n">
        <x:v>-600000</x:v>
      </x:c>
      <x:c r="J100" s="7" t="n">
        <x:v>7.7411</x:v>
      </x:c>
      <x:c r="K100" s="14" t="str">
        <x:v>EUR</x:v>
      </x:c>
      <x:c r="L100" s="6" t="n">
        <x:v>77508.36</x:v>
      </x:c>
      <x:c r="M100" s="6" t="n">
        <x:v>7.8538</x:v>
      </x:c>
      <x:c r="N100" s="6" t="n">
        <x:v>1112.22</x:v>
      </x:c>
      <x:c r="O100" s="6" t="n">
        <x:v>76396.14</x:v>
      </x:c>
      <x:c r="P100" s="14" t="str">
        <x:v>FX-OP-UDL</x:v>
      </x:c>
      <x:c r="Q100" s="9" t="n">
        <x:f>I100</x:f>
        <x:v>-600000</x:v>
      </x:c>
      <x:c r="R100" s="15" t="n">
        <x:f>L100</x:f>
        <x:v>77508.36</x:v>
      </x:c>
    </x:row>
    <x:row r="101">
      <x:c r="A101" s="13" t="str">
        <x:v>FW-105211</x:v>
      </x:c>
      <x:c r="B101" s="14" t="str">
        <x:v>L_6418_CN</x:v>
      </x:c>
      <x:c r="C101" s="14" t="str">
        <x:v>L_0100_LU</x:v>
      </x:c>
      <x:c r="D101" s="14" t="str">
        <x:v>Internal</x:v>
      </x:c>
      <x:c r="E101" s="5" t="n">
        <x:v>46258</x:v>
      </x:c>
      <x:c r="F101" s="14" t="str">
        <x:v>Forward</x:v>
      </x:c>
      <x:c r="G101" s="14" t="str">
        <x:v>Sell</x:v>
      </x:c>
      <x:c r="H101" s="14" t="str">
        <x:v>CNY</x:v>
      </x:c>
      <x:c r="I101" s="6" t="n">
        <x:v>-800000</x:v>
      </x:c>
      <x:c r="J101" s="7" t="n">
        <x:v>7.755</x:v>
      </x:c>
      <x:c r="K101" s="14" t="str">
        <x:v>EUR</x:v>
      </x:c>
      <x:c r="L101" s="6" t="n">
        <x:v>103159.25</x:v>
      </x:c>
      <x:c r="M101" s="6" t="n">
        <x:v>7.8538</x:v>
      </x:c>
      <x:c r="N101" s="6" t="n">
        <x:v>1297.73</x:v>
      </x:c>
      <x:c r="O101" s="6" t="n">
        <x:v>101861.52</x:v>
      </x:c>
      <x:c r="P101" s="14" t="str">
        <x:v>FX-OP-UDL</x:v>
      </x:c>
      <x:c r="Q101" s="9" t="n">
        <x:f>I101</x:f>
        <x:v>-800000</x:v>
      </x:c>
      <x:c r="R101" s="15" t="n">
        <x:f>L101</x:f>
        <x:v>103159.25</x:v>
      </x:c>
    </x:row>
    <x:row r="102">
      <x:c r="A102" s="13" t="str">
        <x:v>FW-105315</x:v>
      </x:c>
      <x:c r="B102" s="14" t="str">
        <x:v>L_6418_CN</x:v>
      </x:c>
      <x:c r="C102" s="14" t="str">
        <x:v>L_0100_LU</x:v>
      </x:c>
      <x:c r="D102" s="14" t="str">
        <x:v>Internal</x:v>
      </x:c>
      <x:c r="E102" s="5" t="n">
        <x:v>46258</x:v>
      </x:c>
      <x:c r="F102" s="14" t="str">
        <x:v>Forward</x:v>
      </x:c>
      <x:c r="G102" s="14" t="str">
        <x:v>Sell</x:v>
      </x:c>
      <x:c r="H102" s="14" t="str">
        <x:v>CNY</x:v>
      </x:c>
      <x:c r="I102" s="6" t="n">
        <x:v>-1800000</x:v>
      </x:c>
      <x:c r="J102" s="7" t="n">
        <x:v>7.70405</x:v>
      </x:c>
      <x:c r="K102" s="14" t="str">
        <x:v>EUR</x:v>
      </x:c>
      <x:c r="L102" s="6" t="n">
        <x:v>233643.34</x:v>
      </x:c>
      <x:c r="M102" s="6" t="n">
        <x:v>7.8538</x:v>
      </x:c>
      <x:c r="N102" s="6" t="n">
        <x:v>4454.93</x:v>
      </x:c>
      <x:c r="O102" s="6" t="n">
        <x:v>229188.42</x:v>
      </x:c>
      <x:c r="P102" s="14" t="str">
        <x:v>FX-OP-UDL</x:v>
      </x:c>
      <x:c r="Q102" s="9" t="n">
        <x:f>I102</x:f>
        <x:v>-1800000</x:v>
      </x:c>
      <x:c r="R102" s="15" t="n">
        <x:f>L102</x:f>
        <x:v>233643.34</x:v>
      </x:c>
    </x:row>
    <x:row r="103">
      <x:c r="A103" s="13" t="str">
        <x:v>FW-105348</x:v>
      </x:c>
      <x:c r="B103" s="14" t="str">
        <x:v>L_6418_CN</x:v>
      </x:c>
      <x:c r="C103" s="14" t="str">
        <x:v>L_0100_LU</x:v>
      </x:c>
      <x:c r="D103" s="14" t="str">
        <x:v>Internal</x:v>
      </x:c>
      <x:c r="E103" s="5" t="n">
        <x:v>46258</x:v>
      </x:c>
      <x:c r="F103" s="14" t="str">
        <x:v>Forward</x:v>
      </x:c>
      <x:c r="G103" s="14" t="str">
        <x:v>Sell</x:v>
      </x:c>
      <x:c r="H103" s="14" t="str">
        <x:v>CNY</x:v>
      </x:c>
      <x:c r="I103" s="6" t="n">
        <x:v>-1200000</x:v>
      </x:c>
      <x:c r="J103" s="7" t="n">
        <x:v>7.74765</x:v>
      </x:c>
      <x:c r="K103" s="14" t="str">
        <x:v>EUR</x:v>
      </x:c>
      <x:c r="L103" s="6" t="n">
        <x:v>154885.68</x:v>
      </x:c>
      <x:c r="M103" s="6" t="n">
        <x:v>7.8538</x:v>
      </x:c>
      <x:c r="N103" s="6" t="n">
        <x:v>2093.4</x:v>
      </x:c>
      <x:c r="O103" s="6" t="n">
        <x:v>152792.28</x:v>
      </x:c>
      <x:c r="P103" s="14" t="str">
        <x:v>FX-OP-UDL</x:v>
      </x:c>
      <x:c r="Q103" s="9" t="n">
        <x:f>I103</x:f>
        <x:v>-1200000</x:v>
      </x:c>
      <x:c r="R103" s="15" t="n">
        <x:f>L103</x:f>
        <x:v>154885.68</x:v>
      </x:c>
    </x:row>
    <x:row r="104">
      <x:c r="A104" s="13" t="str">
        <x:v>FW-105380</x:v>
      </x:c>
      <x:c r="B104" s="14" t="str">
        <x:v>L_6418_CN</x:v>
      </x:c>
      <x:c r="C104" s="14" t="str">
        <x:v>L_0100_LU</x:v>
      </x:c>
      <x:c r="D104" s="14" t="str">
        <x:v>Internal</x:v>
      </x:c>
      <x:c r="E104" s="5" t="n">
        <x:v>46258</x:v>
      </x:c>
      <x:c r="F104" s="14" t="str">
        <x:v>Forward</x:v>
      </x:c>
      <x:c r="G104" s="14" t="str">
        <x:v>Sell</x:v>
      </x:c>
      <x:c r="H104" s="14" t="str">
        <x:v>CNY</x:v>
      </x:c>
      <x:c r="I104" s="6" t="n">
        <x:v>-1000000</x:v>
      </x:c>
      <x:c r="J104" s="7" t="n">
        <x:v>7.7268</x:v>
      </x:c>
      <x:c r="K104" s="14" t="str">
        <x:v>EUR</x:v>
      </x:c>
      <x:c r="L104" s="6" t="n">
        <x:v>129419.68</x:v>
      </x:c>
      <x:c r="M104" s="6" t="n">
        <x:v>7.8538</x:v>
      </x:c>
      <x:c r="N104" s="6" t="n">
        <x:v>2092.78</x:v>
      </x:c>
      <x:c r="O104" s="6" t="n">
        <x:v>127326.9</x:v>
      </x:c>
      <x:c r="P104" s="14" t="str">
        <x:v>FX-OP-UDL</x:v>
      </x:c>
      <x:c r="Q104" s="9" t="n">
        <x:f>I104</x:f>
        <x:v>-1000000</x:v>
      </x:c>
      <x:c r="R104" s="15" t="n">
        <x:f>L104</x:f>
        <x:v>129419.68</x:v>
      </x:c>
    </x:row>
    <x:row r="105">
      <x:c r="A105" s="13" t="str">
        <x:v>FW-105449</x:v>
      </x:c>
      <x:c r="B105" s="14" t="str">
        <x:v>L_6418_CN</x:v>
      </x:c>
      <x:c r="C105" s="14" t="str">
        <x:v>L_0100_LU</x:v>
      </x:c>
      <x:c r="D105" s="14" t="str">
        <x:v>Internal</x:v>
      </x:c>
      <x:c r="E105" s="5" t="n">
        <x:v>46258</x:v>
      </x:c>
      <x:c r="F105" s="14" t="str">
        <x:v>Forward</x:v>
      </x:c>
      <x:c r="G105" s="14" t="str">
        <x:v>Sell</x:v>
      </x:c>
      <x:c r="H105" s="14" t="str">
        <x:v>CNY</x:v>
      </x:c>
      <x:c r="I105" s="6" t="n">
        <x:v>-1600000</x:v>
      </x:c>
      <x:c r="J105" s="7" t="n">
        <x:v>7.71601</x:v>
      </x:c>
      <x:c r="K105" s="14" t="str">
        <x:v>EUR</x:v>
      </x:c>
      <x:c r="L105" s="6" t="n">
        <x:v>207361.06</x:v>
      </x:c>
      <x:c r="M105" s="6" t="n">
        <x:v>7.8538</x:v>
      </x:c>
      <x:c r="N105" s="6" t="n">
        <x:v>3638.02</x:v>
      </x:c>
      <x:c r="O105" s="6" t="n">
        <x:v>203723.04</x:v>
      </x:c>
      <x:c r="P105" s="14" t="str">
        <x:v>FX-OP-UDL</x:v>
      </x:c>
      <x:c r="Q105" s="9" t="n">
        <x:f>I105</x:f>
        <x:v>-1600000</x:v>
      </x:c>
      <x:c r="R105" s="15" t="n">
        <x:f>L105</x:f>
        <x:v>207361.06</x:v>
      </x:c>
    </x:row>
    <x:row r="106">
      <x:c r="A106" s="13" t="str">
        <x:v>FW-105485</x:v>
      </x:c>
      <x:c r="B106" s="14" t="str">
        <x:v>L_6418_CN</x:v>
      </x:c>
      <x:c r="C106" s="14" t="str">
        <x:v>L_0100_LU</x:v>
      </x:c>
      <x:c r="D106" s="14" t="str">
        <x:v>Internal</x:v>
      </x:c>
      <x:c r="E106" s="5" t="n">
        <x:v>46258</x:v>
      </x:c>
      <x:c r="F106" s="14" t="str">
        <x:v>Forward</x:v>
      </x:c>
      <x:c r="G106" s="14" t="str">
        <x:v>Sell</x:v>
      </x:c>
      <x:c r="H106" s="14" t="str">
        <x:v>CNY</x:v>
      </x:c>
      <x:c r="I106" s="6" t="n">
        <x:v>-1000000</x:v>
      </x:c>
      <x:c r="J106" s="7" t="n">
        <x:v>7.7089</x:v>
      </x:c>
      <x:c r="K106" s="14" t="str">
        <x:v>EUR</x:v>
      </x:c>
      <x:c r="L106" s="6" t="n">
        <x:v>129720.19</x:v>
      </x:c>
      <x:c r="M106" s="6" t="n">
        <x:v>7.8538</x:v>
      </x:c>
      <x:c r="N106" s="6" t="n">
        <x:v>2393.29</x:v>
      </x:c>
      <x:c r="O106" s="6" t="n">
        <x:v>127326.9</x:v>
      </x:c>
      <x:c r="P106" s="14" t="str">
        <x:v>FX-OP-UDL</x:v>
      </x:c>
      <x:c r="Q106" s="9" t="n">
        <x:f>I106</x:f>
        <x:v>-1000000</x:v>
      </x:c>
      <x:c r="R106" s="15" t="n">
        <x:f>L106</x:f>
        <x:v>129720.19</x:v>
      </x:c>
    </x:row>
    <x:row r="107">
      <x:c r="A107" s="13" t="str">
        <x:v>FW-105570</x:v>
      </x:c>
      <x:c r="B107" s="14" t="str">
        <x:v>L_6418_CN</x:v>
      </x:c>
      <x:c r="C107" s="14" t="str">
        <x:v>L_0100_LU</x:v>
      </x:c>
      <x:c r="D107" s="14" t="str">
        <x:v>Internal</x:v>
      </x:c>
      <x:c r="E107" s="5" t="n">
        <x:v>46258</x:v>
      </x:c>
      <x:c r="F107" s="14" t="str">
        <x:v>Forward</x:v>
      </x:c>
      <x:c r="G107" s="14" t="str">
        <x:v>Sell</x:v>
      </x:c>
      <x:c r="H107" s="14" t="str">
        <x:v>CNY</x:v>
      </x:c>
      <x:c r="I107" s="6" t="n">
        <x:v>-600000</x:v>
      </x:c>
      <x:c r="J107" s="7" t="n">
        <x:v>7.70153</x:v>
      </x:c>
      <x:c r="K107" s="14" t="str">
        <x:v>EUR</x:v>
      </x:c>
      <x:c r="L107" s="6" t="n">
        <x:v>77906.6</x:v>
      </x:c>
      <x:c r="M107" s="6" t="n">
        <x:v>7.8538</x:v>
      </x:c>
      <x:c r="N107" s="6" t="n">
        <x:v>1510.46</x:v>
      </x:c>
      <x:c r="O107" s="6" t="n">
        <x:v>76396.14</x:v>
      </x:c>
      <x:c r="P107" s="14" t="str">
        <x:v>FX-OP-UDL</x:v>
      </x:c>
      <x:c r="Q107" s="9" t="n">
        <x:f>I107</x:f>
        <x:v>-600000</x:v>
      </x:c>
      <x:c r="R107" s="15" t="n">
        <x:f>L107</x:f>
        <x:v>77906.6</x:v>
      </x:c>
    </x:row>
    <x:row r="108">
      <x:c r="A108" s="13" t="str">
        <x:v>FW-105591</x:v>
      </x:c>
      <x:c r="B108" s="14" t="str">
        <x:v>L_6418_CN</x:v>
      </x:c>
      <x:c r="C108" s="14" t="str">
        <x:v>L_0100_LU</x:v>
      </x:c>
      <x:c r="D108" s="14" t="str">
        <x:v>Internal</x:v>
      </x:c>
      <x:c r="E108" s="5" t="n">
        <x:v>46258</x:v>
      </x:c>
      <x:c r="F108" s="14" t="str">
        <x:v>Forward</x:v>
      </x:c>
      <x:c r="G108" s="14" t="str">
        <x:v>Sell</x:v>
      </x:c>
      <x:c r="H108" s="14" t="str">
        <x:v>CNY</x:v>
      </x:c>
      <x:c r="I108" s="6" t="n">
        <x:v>-1000000</x:v>
      </x:c>
      <x:c r="J108" s="7" t="n">
        <x:v>7.69593</x:v>
      </x:c>
      <x:c r="K108" s="14" t="str">
        <x:v>EUR</x:v>
      </x:c>
      <x:c r="L108" s="6" t="n">
        <x:v>129938.81</x:v>
      </x:c>
      <x:c r="M108" s="6" t="n">
        <x:v>7.8538</x:v>
      </x:c>
      <x:c r="N108" s="6" t="n">
        <x:v>2611.91</x:v>
      </x:c>
      <x:c r="O108" s="6" t="n">
        <x:v>127326.9</x:v>
      </x:c>
      <x:c r="P108" s="14" t="str">
        <x:v>FX-OP-UDL</x:v>
      </x:c>
      <x:c r="Q108" s="9" t="n">
        <x:f>I108</x:f>
        <x:v>-1000000</x:v>
      </x:c>
      <x:c r="R108" s="15" t="n">
        <x:f>L108</x:f>
        <x:v>129938.81</x:v>
      </x:c>
    </x:row>
    <x:row r="109">
      <x:c r="A109" s="13" t="str">
        <x:v>FW-105690</x:v>
      </x:c>
      <x:c r="B109" s="14" t="str">
        <x:v>L_6418_CN</x:v>
      </x:c>
      <x:c r="C109" s="14" t="str">
        <x:v>L_0100_LU</x:v>
      </x:c>
      <x:c r="D109" s="14" t="str">
        <x:v>Internal</x:v>
      </x:c>
      <x:c r="E109" s="5" t="n">
        <x:v>46258</x:v>
      </x:c>
      <x:c r="F109" s="14" t="str">
        <x:v>Forward</x:v>
      </x:c>
      <x:c r="G109" s="14" t="str">
        <x:v>Sell</x:v>
      </x:c>
      <x:c r="H109" s="14" t="str">
        <x:v>CNY</x:v>
      </x:c>
      <x:c r="I109" s="6" t="n">
        <x:v>-800000</x:v>
      </x:c>
      <x:c r="J109" s="7" t="n">
        <x:v>7.6969</x:v>
      </x:c>
      <x:c r="K109" s="14" t="str">
        <x:v>EUR</x:v>
      </x:c>
      <x:c r="L109" s="6" t="n">
        <x:v>103937.95</x:v>
      </x:c>
      <x:c r="M109" s="6" t="n">
        <x:v>7.8538</x:v>
      </x:c>
      <x:c r="N109" s="6" t="n">
        <x:v>2076.43</x:v>
      </x:c>
      <x:c r="O109" s="6" t="n">
        <x:v>101861.52</x:v>
      </x:c>
      <x:c r="P109" s="14" t="str">
        <x:v>FX-OP-UDL</x:v>
      </x:c>
      <x:c r="Q109" s="9" t="n">
        <x:f>I109</x:f>
        <x:v>-800000</x:v>
      </x:c>
      <x:c r="R109" s="15" t="n">
        <x:f>L109</x:f>
        <x:v>103937.95</x:v>
      </x:c>
    </x:row>
    <x:row r="110">
      <x:c r="A110" s="13" t="str">
        <x:v>FW-105704</x:v>
      </x:c>
      <x:c r="B110" s="14" t="str">
        <x:v>L_6418_CN</x:v>
      </x:c>
      <x:c r="C110" s="14" t="str">
        <x:v>L_0100_LU</x:v>
      </x:c>
      <x:c r="D110" s="14" t="str">
        <x:v>Internal</x:v>
      </x:c>
      <x:c r="E110" s="5" t="n">
        <x:v>46258</x:v>
      </x:c>
      <x:c r="F110" s="14" t="str">
        <x:v>Forward</x:v>
      </x:c>
      <x:c r="G110" s="14" t="str">
        <x:v>Sell</x:v>
      </x:c>
      <x:c r="H110" s="14" t="str">
        <x:v>CNY</x:v>
      </x:c>
      <x:c r="I110" s="6" t="n">
        <x:v>-3000000</x:v>
      </x:c>
      <x:c r="J110" s="7" t="n">
        <x:v>7.7628</x:v>
      </x:c>
      <x:c r="K110" s="14" t="str">
        <x:v>EUR</x:v>
      </x:c>
      <x:c r="L110" s="6" t="n">
        <x:v>386458.49</x:v>
      </x:c>
      <x:c r="M110" s="6" t="n">
        <x:v>7.8538</x:v>
      </x:c>
      <x:c r="N110" s="6" t="n">
        <x:v>4477.8</x:v>
      </x:c>
      <x:c r="O110" s="6" t="n">
        <x:v>381980.7</x:v>
      </x:c>
      <x:c r="P110" s="14" t="str">
        <x:v>FX-OP-UDL</x:v>
      </x:c>
      <x:c r="Q110" s="9" t="n">
        <x:f>I110</x:f>
        <x:v>-3000000</x:v>
      </x:c>
      <x:c r="R110" s="15" t="n">
        <x:f>L110</x:f>
        <x:v>386458.49</x:v>
      </x:c>
    </x:row>
    <x:row r="111">
      <x:c r="A111" s="13" t="str">
        <x:v>FW-105745</x:v>
      </x:c>
      <x:c r="B111" s="14" t="str">
        <x:v>L_6418_CN</x:v>
      </x:c>
      <x:c r="C111" s="14" t="str">
        <x:v>L_0100_LU</x:v>
      </x:c>
      <x:c r="D111" s="14" t="str">
        <x:v>Internal</x:v>
      </x:c>
      <x:c r="E111" s="5" t="n">
        <x:v>46258</x:v>
      </x:c>
      <x:c r="F111" s="14" t="str">
        <x:v>Forward</x:v>
      </x:c>
      <x:c r="G111" s="14" t="str">
        <x:v>Sell</x:v>
      </x:c>
      <x:c r="H111" s="14" t="str">
        <x:v>CNY</x:v>
      </x:c>
      <x:c r="I111" s="6" t="n">
        <x:v>-500000</x:v>
      </x:c>
      <x:c r="J111" s="7" t="n">
        <x:v>7.7362</x:v>
      </x:c>
      <x:c r="K111" s="14" t="str">
        <x:v>EUR</x:v>
      </x:c>
      <x:c r="L111" s="6" t="n">
        <x:v>64631.21</x:v>
      </x:c>
      <x:c r="M111" s="6" t="n">
        <x:v>7.8538</x:v>
      </x:c>
      <x:c r="N111" s="6" t="n">
        <x:v>967.76</x:v>
      </x:c>
      <x:c r="O111" s="6" t="n">
        <x:v>63663.45</x:v>
      </x:c>
      <x:c r="P111" s="14" t="str">
        <x:v>FX-OP-UDL</x:v>
      </x:c>
      <x:c r="Q111" s="9" t="n">
        <x:f>I111</x:f>
        <x:v>-500000</x:v>
      </x:c>
      <x:c r="R111" s="15" t="n">
        <x:f>L111</x:f>
        <x:v>64631.21</x:v>
      </x:c>
    </x:row>
    <x:row r="112">
      <x:c r="A112" s="13" t="str">
        <x:v>FW-105110</x:v>
      </x:c>
      <x:c r="B112" s="14" t="str">
        <x:v>L_6500_AU</x:v>
      </x:c>
      <x:c r="C112" s="14" t="str">
        <x:v>L_0100_LU</x:v>
      </x:c>
      <x:c r="D112" s="14" t="str">
        <x:v>Internal</x:v>
      </x:c>
      <x:c r="E112" s="5" t="n">
        <x:v>46258</x:v>
      </x:c>
      <x:c r="F112" s="14" t="str">
        <x:v>Forward</x:v>
      </x:c>
      <x:c r="G112" s="14" t="str">
        <x:v>Buy</x:v>
      </x:c>
      <x:c r="H112" s="14" t="str">
        <x:v>EUR</x:v>
      </x:c>
      <x:c r="I112" s="6" t="n">
        <x:v>100000</x:v>
      </x:c>
      <x:c r="J112" s="7" t="n">
        <x:v>1.655</x:v>
      </x:c>
      <x:c r="K112" s="14" t="str">
        <x:v>AUD</x:v>
      </x:c>
      <x:c r="L112" s="6" t="n">
        <x:v>-165500</x:v>
      </x:c>
      <x:c r="M112" s="6" t="n">
        <x:v>1.6438</x:v>
      </x:c>
      <x:c r="N112" s="6" t="n">
        <x:v>-681.35</x:v>
      </x:c>
      <x:c r="O112" s="6" t="n">
        <x:v>-164380</x:v>
      </x:c>
      <x:c r="P112" s="14" t="str">
        <x:v>FX-OP-UDL</x:v>
      </x:c>
      <x:c r="Q112" s="9" t="n">
        <x:f>I112</x:f>
        <x:v>100000</x:v>
      </x:c>
      <x:c r="R112" s="15" t="n">
        <x:f>L112</x:f>
        <x:v>-165500</x:v>
      </x:c>
    </x:row>
    <x:row r="113">
      <x:c r="A113" s="13" t="str">
        <x:v>FW-105147</x:v>
      </x:c>
      <x:c r="B113" s="14" t="str">
        <x:v>L_6500_AU</x:v>
      </x:c>
      <x:c r="C113" s="14" t="str">
        <x:v>L_0100_LU</x:v>
      </x:c>
      <x:c r="D113" s="14" t="str">
        <x:v>Internal</x:v>
      </x:c>
      <x:c r="E113" s="5" t="n">
        <x:v>46258</x:v>
      </x:c>
      <x:c r="F113" s="14" t="str">
        <x:v>Forward</x:v>
      </x:c>
      <x:c r="G113" s="14" t="str">
        <x:v>Buy</x:v>
      </x:c>
      <x:c r="H113" s="14" t="str">
        <x:v>CNY</x:v>
      </x:c>
      <x:c r="I113" s="6" t="n">
        <x:v>500000</x:v>
      </x:c>
      <x:c r="J113" s="7" t="n">
        <x:v>4.684</x:v>
      </x:c>
      <x:c r="K113" s="14" t="str">
        <x:v>AUD</x:v>
      </x:c>
      <x:c r="L113" s="6" t="n">
        <x:v>-106746.37</x:v>
      </x:c>
      <x:c r="M113" s="6" t="n">
        <x:v>4.777832</x:v>
      </x:c>
      <x:c r="N113" s="6" t="n">
        <x:v>-1275.33</x:v>
      </x:c>
      <x:c r="O113" s="6" t="n">
        <x:v>-104649.98</x:v>
      </x:c>
      <x:c r="P113" s="14" t="str">
        <x:v>FX-OP-UDL</x:v>
      </x:c>
      <x:c r="Q113" s="9" t="n">
        <x:f>I113</x:f>
        <x:v>500000</x:v>
      </x:c>
      <x:c r="R113" s="15" t="n">
        <x:f>L113</x:f>
        <x:v>-106746.37</x:v>
      </x:c>
    </x:row>
    <x:row r="114">
      <x:c r="A114" s="13" t="str">
        <x:v>FW-105282</x:v>
      </x:c>
      <x:c r="B114" s="14" t="str">
        <x:v>L_6500_AU</x:v>
      </x:c>
      <x:c r="C114" s="14" t="str">
        <x:v>L_0100_LU</x:v>
      </x:c>
      <x:c r="D114" s="14" t="str">
        <x:v>Internal</x:v>
      </x:c>
      <x:c r="E114" s="5" t="n">
        <x:v>46258</x:v>
      </x:c>
      <x:c r="F114" s="14" t="str">
        <x:v>Forward</x:v>
      </x:c>
      <x:c r="G114" s="14" t="str">
        <x:v>Buy</x:v>
      </x:c>
      <x:c r="H114" s="14" t="str">
        <x:v>EUR</x:v>
      </x:c>
      <x:c r="I114" s="6" t="n">
        <x:v>80000</x:v>
      </x:c>
      <x:c r="J114" s="7" t="n">
        <x:v>1.6538</x:v>
      </x:c>
      <x:c r="K114" s="14" t="str">
        <x:v>AUD</x:v>
      </x:c>
      <x:c r="L114" s="6" t="n">
        <x:v>-132304</x:v>
      </x:c>
      <x:c r="M114" s="6" t="n">
        <x:v>1.6438</x:v>
      </x:c>
      <x:c r="N114" s="6" t="n">
        <x:v>-486.68</x:v>
      </x:c>
      <x:c r="O114" s="6" t="n">
        <x:v>-131504</x:v>
      </x:c>
      <x:c r="P114" s="14" t="str">
        <x:v>FX-OP-UDL</x:v>
      </x:c>
      <x:c r="Q114" s="9" t="n">
        <x:f>I114</x:f>
        <x:v>80000</x:v>
      </x:c>
      <x:c r="R114" s="15" t="n">
        <x:f>L114</x:f>
        <x:v>-132304</x:v>
      </x:c>
    </x:row>
    <x:row r="115">
      <x:c r="A115" s="13" t="str">
        <x:v>FW-105330</x:v>
      </x:c>
      <x:c r="B115" s="14" t="str">
        <x:v>L_6500_AU</x:v>
      </x:c>
      <x:c r="C115" s="14" t="str">
        <x:v>L_0100_LU</x:v>
      </x:c>
      <x:c r="D115" s="14" t="str">
        <x:v>Internal</x:v>
      </x:c>
      <x:c r="E115" s="5" t="n">
        <x:v>46258</x:v>
      </x:c>
      <x:c r="F115" s="14" t="str">
        <x:v>Forward</x:v>
      </x:c>
      <x:c r="G115" s="14" t="str">
        <x:v>Buy</x:v>
      </x:c>
      <x:c r="H115" s="14" t="str">
        <x:v>CNY</x:v>
      </x:c>
      <x:c r="I115" s="6" t="n">
        <x:v>1000000</x:v>
      </x:c>
      <x:c r="J115" s="7" t="n">
        <x:v>4.6953</x:v>
      </x:c>
      <x:c r="K115" s="14" t="str">
        <x:v>AUD</x:v>
      </x:c>
      <x:c r="L115" s="6" t="n">
        <x:v>-212978.94</x:v>
      </x:c>
      <x:c r="M115" s="6" t="n">
        <x:v>4.777832</x:v>
      </x:c>
      <x:c r="N115" s="6" t="n">
        <x:v>-2238.09</x:v>
      </x:c>
      <x:c r="O115" s="6" t="n">
        <x:v>-209299.96</x:v>
      </x:c>
      <x:c r="P115" s="14" t="str">
        <x:v>FX-OP-UDL</x:v>
      </x:c>
      <x:c r="Q115" s="9" t="n">
        <x:f>I115</x:f>
        <x:v>1000000</x:v>
      </x:c>
      <x:c r="R115" s="15" t="n">
        <x:f>L115</x:f>
        <x:v>-212978.94</x:v>
      </x:c>
    </x:row>
    <x:row r="116">
      <x:c r="A116" s="13" t="str">
        <x:v>FW-105333</x:v>
      </x:c>
      <x:c r="B116" s="14" t="str">
        <x:v>L_6500_AU</x:v>
      </x:c>
      <x:c r="C116" s="14" t="str">
        <x:v>L_0100_LU</x:v>
      </x:c>
      <x:c r="D116" s="14" t="str">
        <x:v>Internal</x:v>
      </x:c>
      <x:c r="E116" s="5" t="n">
        <x:v>46258</x:v>
      </x:c>
      <x:c r="F116" s="14" t="str">
        <x:v>Forward</x:v>
      </x:c>
      <x:c r="G116" s="14" t="str">
        <x:v>Buy</x:v>
      </x:c>
      <x:c r="H116" s="14" t="str">
        <x:v>USD</x:v>
      </x:c>
      <x:c r="I116" s="6" t="n">
        <x:v>70000</x:v>
      </x:c>
      <x:c r="J116" s="7" t="n">
        <x:v>0.696409</x:v>
      </x:c>
      <x:c r="K116" s="14" t="str">
        <x:v>AUD</x:v>
      </x:c>
      <x:c r="L116" s="6" t="n">
        <x:v>-100515.65</x:v>
      </x:c>
      <x:c r="M116" s="6" t="n">
        <x:v>0.71061</x:v>
      </x:c>
      <x:c r="N116" s="6" t="n">
        <x:v>-1221.97</x:v>
      </x:c>
      <x:c r="O116" s="6" t="n">
        <x:v>-98506.98</x:v>
      </x:c>
      <x:c r="P116" s="14" t="str">
        <x:v>FX-OP-UDL</x:v>
      </x:c>
      <x:c r="Q116" s="9" t="n">
        <x:f>I116</x:f>
        <x:v>70000</x:v>
      </x:c>
      <x:c r="R116" s="15" t="n">
        <x:f>L116</x:f>
        <x:v>-100515.65</x:v>
      </x:c>
    </x:row>
    <x:row r="117">
      <x:c r="A117" s="13" t="str">
        <x:v>FW-105369</x:v>
      </x:c>
      <x:c r="B117" s="14" t="str">
        <x:v>L_6500_AU</x:v>
      </x:c>
      <x:c r="C117" s="14" t="str">
        <x:v>L_0100_LU</x:v>
      </x:c>
      <x:c r="D117" s="14" t="str">
        <x:v>Internal</x:v>
      </x:c>
      <x:c r="E117" s="5" t="n">
        <x:v>46258</x:v>
      </x:c>
      <x:c r="F117" s="14" t="str">
        <x:v>Forward</x:v>
      </x:c>
      <x:c r="G117" s="14" t="str">
        <x:v>Buy</x:v>
      </x:c>
      <x:c r="H117" s="14" t="str">
        <x:v>EUR</x:v>
      </x:c>
      <x:c r="I117" s="6" t="n">
        <x:v>80000</x:v>
      </x:c>
      <x:c r="J117" s="7" t="n">
        <x:v>1.6438</x:v>
      </x:c>
      <x:c r="K117" s="14" t="str">
        <x:v>AUD</x:v>
      </x:c>
      <x:c r="L117" s="6" t="n">
        <x:v>-131504</x:v>
      </x:c>
      <x:c r="M117" s="6" t="n">
        <x:v>1.6438</x:v>
      </x:c>
      <x:c r="N117" s="6" t="n">
        <x:v>0</x:v>
      </x:c>
      <x:c r="O117" s="6" t="n">
        <x:v>-131504</x:v>
      </x:c>
      <x:c r="P117" s="14" t="str">
        <x:v>FX-OP-UDL</x:v>
      </x:c>
      <x:c r="Q117" s="9" t="n">
        <x:f>I117</x:f>
        <x:v>80000</x:v>
      </x:c>
      <x:c r="R117" s="15" t="n">
        <x:f>L117</x:f>
        <x:v>-131504</x:v>
      </x:c>
    </x:row>
    <x:row r="118">
      <x:c r="A118" s="13" t="str">
        <x:v>FW-105514</x:v>
      </x:c>
      <x:c r="B118" s="14" t="str">
        <x:v>L_6500_AU</x:v>
      </x:c>
      <x:c r="C118" s="14" t="str">
        <x:v>L_0100_LU</x:v>
      </x:c>
      <x:c r="D118" s="14" t="str">
        <x:v>Internal</x:v>
      </x:c>
      <x:c r="E118" s="5" t="n">
        <x:v>46258</x:v>
      </x:c>
      <x:c r="F118" s="14" t="str">
        <x:v>Forward</x:v>
      </x:c>
      <x:c r="G118" s="14" t="str">
        <x:v>Buy</x:v>
      </x:c>
      <x:c r="H118" s="14" t="str">
        <x:v>EUR</x:v>
      </x:c>
      <x:c r="I118" s="6" t="n">
        <x:v>200000</x:v>
      </x:c>
      <x:c r="J118" s="7" t="n">
        <x:v>1.636</x:v>
      </x:c>
      <x:c r="K118" s="14" t="str">
        <x:v>AUD</x:v>
      </x:c>
      <x:c r="L118" s="6" t="n">
        <x:v>-327200</x:v>
      </x:c>
      <x:c r="M118" s="6" t="n">
        <x:v>1.6438</x:v>
      </x:c>
      <x:c r="N118" s="6" t="n">
        <x:v>949.02</x:v>
      </x:c>
      <x:c r="O118" s="6" t="n">
        <x:v>-328760</x:v>
      </x:c>
      <x:c r="P118" s="14" t="str">
        <x:v>FX-OP-UDL</x:v>
      </x:c>
      <x:c r="Q118" s="9" t="n">
        <x:f>I118</x:f>
        <x:v>200000</x:v>
      </x:c>
      <x:c r="R118" s="15" t="n">
        <x:f>L118</x:f>
        <x:v>-327200</x:v>
      </x:c>
    </x:row>
    <x:row r="119">
      <x:c r="A119" s="13" t="str">
        <x:v>FW-105519</x:v>
      </x:c>
      <x:c r="B119" s="14" t="str">
        <x:v>L_6500_AU</x:v>
      </x:c>
      <x:c r="C119" s="14" t="str">
        <x:v>L_0100_LU</x:v>
      </x:c>
      <x:c r="D119" s="14" t="str">
        <x:v>Internal</x:v>
      </x:c>
      <x:c r="E119" s="5" t="n">
        <x:v>46258</x:v>
      </x:c>
      <x:c r="F119" s="14" t="str">
        <x:v>Forward</x:v>
      </x:c>
      <x:c r="G119" s="14" t="str">
        <x:v>Buy</x:v>
      </x:c>
      <x:c r="H119" s="14" t="str">
        <x:v>CNY</x:v>
      </x:c>
      <x:c r="I119" s="6" t="n">
        <x:v>600000</x:v>
      </x:c>
      <x:c r="J119" s="7" t="n">
        <x:v>4.7143</x:v>
      </x:c>
      <x:c r="K119" s="14" t="str">
        <x:v>AUD</x:v>
      </x:c>
      <x:c r="L119" s="6" t="n">
        <x:v>-127272.34</x:v>
      </x:c>
      <x:c r="M119" s="6" t="n">
        <x:v>4.777832</x:v>
      </x:c>
      <x:c r="N119" s="6" t="n">
        <x:v>-1029.55</x:v>
      </x:c>
      <x:c r="O119" s="6" t="n">
        <x:v>-125579.97</x:v>
      </x:c>
      <x:c r="P119" s="14" t="str">
        <x:v>FX-OP-UDL</x:v>
      </x:c>
      <x:c r="Q119" s="9" t="n">
        <x:f>I119</x:f>
        <x:v>600000</x:v>
      </x:c>
      <x:c r="R119" s="15" t="n">
        <x:f>L119</x:f>
        <x:v>-127272.34</x:v>
      </x:c>
    </x:row>
    <x:row r="120">
      <x:c r="A120" s="13" t="str">
        <x:v>FW-105583</x:v>
      </x:c>
      <x:c r="B120" s="14" t="str">
        <x:v>L_6500_AU</x:v>
      </x:c>
      <x:c r="C120" s="14" t="str">
        <x:v>L_0100_LU</x:v>
      </x:c>
      <x:c r="D120" s="14" t="str">
        <x:v>Internal</x:v>
      </x:c>
      <x:c r="E120" s="5" t="n">
        <x:v>46258</x:v>
      </x:c>
      <x:c r="F120" s="14" t="str">
        <x:v>Forward</x:v>
      </x:c>
      <x:c r="G120" s="14" t="str">
        <x:v>Buy</x:v>
      </x:c>
      <x:c r="H120" s="14" t="str">
        <x:v>USD</x:v>
      </x:c>
      <x:c r="I120" s="6" t="n">
        <x:v>70000</x:v>
      </x:c>
      <x:c r="J120" s="7" t="n">
        <x:v>0.697583</x:v>
      </x:c>
      <x:c r="K120" s="14" t="str">
        <x:v>AUD</x:v>
      </x:c>
      <x:c r="L120" s="6" t="n">
        <x:v>-100346.48</x:v>
      </x:c>
      <x:c r="M120" s="6" t="n">
        <x:v>0.71061</x:v>
      </x:c>
      <x:c r="N120" s="6" t="n">
        <x:v>-1119.06</x:v>
      </x:c>
      <x:c r="O120" s="6" t="n">
        <x:v>-98506.98</x:v>
      </x:c>
      <x:c r="P120" s="14" t="str">
        <x:v>FX-OP-UDL</x:v>
      </x:c>
      <x:c r="Q120" s="9" t="n">
        <x:f>I120</x:f>
        <x:v>70000</x:v>
      </x:c>
      <x:c r="R120" s="15" t="n">
        <x:f>L120</x:f>
        <x:v>-100346.48</x:v>
      </x:c>
    </x:row>
    <x:row r="121">
      <x:c r="A121" s="13" t="str">
        <x:v>FW-105665</x:v>
      </x:c>
      <x:c r="B121" s="14" t="str">
        <x:v>L_6500_AU</x:v>
      </x:c>
      <x:c r="C121" s="14" t="str">
        <x:v>L_0100_LU</x:v>
      </x:c>
      <x:c r="D121" s="14" t="str">
        <x:v>Internal</x:v>
      </x:c>
      <x:c r="E121" s="5" t="n">
        <x:v>46258</x:v>
      </x:c>
      <x:c r="F121" s="14" t="str">
        <x:v>Forward</x:v>
      </x:c>
      <x:c r="G121" s="14" t="str">
        <x:v>Buy</x:v>
      </x:c>
      <x:c r="H121" s="14" t="str">
        <x:v>CNY</x:v>
      </x:c>
      <x:c r="I121" s="6" t="n">
        <x:v>1000000</x:v>
      </x:c>
      <x:c r="J121" s="7" t="n">
        <x:v>4.6759</x:v>
      </x:c>
      <x:c r="K121" s="14" t="str">
        <x:v>AUD</x:v>
      </x:c>
      <x:c r="L121" s="6" t="n">
        <x:v>-213862.57</x:v>
      </x:c>
      <x:c r="M121" s="6" t="n">
        <x:v>4.777832</x:v>
      </x:c>
      <x:c r="N121" s="6" t="n">
        <x:v>-2775.65</x:v>
      </x:c>
      <x:c r="O121" s="6" t="n">
        <x:v>-209299.96</x:v>
      </x:c>
      <x:c r="P121" s="14" t="str">
        <x:v>FX-OP-UDL</x:v>
      </x:c>
      <x:c r="Q121" s="9" t="n">
        <x:f>I121</x:f>
        <x:v>1000000</x:v>
      </x:c>
      <x:c r="R121" s="15" t="n">
        <x:f>L121</x:f>
        <x:v>-213862.57</x:v>
      </x:c>
    </x:row>
    <x:row r="122">
      <x:c r="A122" s="13" t="str">
        <x:v>FW-105668</x:v>
      </x:c>
      <x:c r="B122" s="14" t="str">
        <x:v>L_6500_AU</x:v>
      </x:c>
      <x:c r="C122" s="14" t="str">
        <x:v>L_0100_LU</x:v>
      </x:c>
      <x:c r="D122" s="14" t="str">
        <x:v>Internal</x:v>
      </x:c>
      <x:c r="E122" s="5" t="n">
        <x:v>46258</x:v>
      </x:c>
      <x:c r="F122" s="14" t="str">
        <x:v>Forward</x:v>
      </x:c>
      <x:c r="G122" s="14" t="str">
        <x:v>Buy</x:v>
      </x:c>
      <x:c r="H122" s="14" t="str">
        <x:v>EUR</x:v>
      </x:c>
      <x:c r="I122" s="6" t="n">
        <x:v>80000</x:v>
      </x:c>
      <x:c r="J122" s="7" t="n">
        <x:v>1.6447</x:v>
      </x:c>
      <x:c r="K122" s="14" t="str">
        <x:v>AUD</x:v>
      </x:c>
      <x:c r="L122" s="6" t="n">
        <x:v>-131576</x:v>
      </x:c>
      <x:c r="M122" s="6" t="n">
        <x:v>1.6438</x:v>
      </x:c>
      <x:c r="N122" s="6" t="n">
        <x:v>-43.8</x:v>
      </x:c>
      <x:c r="O122" s="6" t="n">
        <x:v>-131504</x:v>
      </x:c>
      <x:c r="P122" s="14" t="str">
        <x:v>FX-OP-UDL</x:v>
      </x:c>
      <x:c r="Q122" s="9" t="n">
        <x:f>I122</x:f>
        <x:v>80000</x:v>
      </x:c>
      <x:c r="R122" s="15" t="n">
        <x:f>L122</x:f>
        <x:v>-131576</x:v>
      </x:c>
    </x:row>
    <x:row r="123">
      <x:c r="A123" s="13" t="str">
        <x:v>FW-105761</x:v>
      </x:c>
      <x:c r="B123" s="14" t="str">
        <x:v>L_6500_AU</x:v>
      </x:c>
      <x:c r="C123" s="14" t="str">
        <x:v>L_0100_LU</x:v>
      </x:c>
      <x:c r="D123" s="14" t="str">
        <x:v>Internal</x:v>
      </x:c>
      <x:c r="E123" s="5" t="n">
        <x:v>46258</x:v>
      </x:c>
      <x:c r="F123" s="14" t="str">
        <x:v>Forward</x:v>
      </x:c>
      <x:c r="G123" s="14" t="str">
        <x:v>Buy</x:v>
      </x:c>
      <x:c r="H123" s="14" t="str">
        <x:v>CNY</x:v>
      </x:c>
      <x:c r="I123" s="6" t="n">
        <x:v>500000</x:v>
      </x:c>
      <x:c r="J123" s="7" t="n">
        <x:v>4.7114</x:v>
      </x:c>
      <x:c r="K123" s="14" t="str">
        <x:v>AUD</x:v>
      </x:c>
      <x:c r="L123" s="6" t="n">
        <x:v>-106125.57</x:v>
      </x:c>
      <x:c r="M123" s="6" t="n">
        <x:v>4.777832</x:v>
      </x:c>
      <x:c r="N123" s="6" t="n">
        <x:v>-897.67</x:v>
      </x:c>
      <x:c r="O123" s="6" t="n">
        <x:v>-104649.98</x:v>
      </x:c>
      <x:c r="P123" s="14" t="str">
        <x:v>FX-OP-UDL</x:v>
      </x:c>
      <x:c r="Q123" s="9" t="n">
        <x:f>I123</x:f>
        <x:v>500000</x:v>
      </x:c>
      <x:c r="R123" s="15" t="n">
        <x:f>L123</x:f>
        <x:v>-106125.57</x:v>
      </x:c>
    </x:row>
    <x:row r="124">
      <x:c r="A124" s="16" t="str">
        <x:v>FW-105773</x:v>
      </x:c>
      <x:c r="B124" s="17" t="str">
        <x:v>L_6500_AU</x:v>
      </x:c>
      <x:c r="C124" s="17" t="str">
        <x:v>L_0100_LU</x:v>
      </x:c>
      <x:c r="D124" s="17" t="str">
        <x:v>Internal</x:v>
      </x:c>
      <x:c r="E124" s="18" t="n">
        <x:v>46258</x:v>
      </x:c>
      <x:c r="F124" s="17" t="str">
        <x:v>Forward</x:v>
      </x:c>
      <x:c r="G124" s="17" t="str">
        <x:v>Buy</x:v>
      </x:c>
      <x:c r="H124" s="17" t="str">
        <x:v>EUR</x:v>
      </x:c>
      <x:c r="I124" s="19" t="n">
        <x:v>70000</x:v>
      </x:c>
      <x:c r="J124" s="20" t="n">
        <x:v>1.6499</x:v>
      </x:c>
      <x:c r="K124" s="17" t="str">
        <x:v>AUD</x:v>
      </x:c>
      <x:c r="L124" s="19" t="n">
        <x:v>-115493</x:v>
      </x:c>
      <x:c r="M124" s="19" t="n">
        <x:v>1.6438</x:v>
      </x:c>
      <x:c r="N124" s="19" t="n">
        <x:v>-259.76</x:v>
      </x:c>
      <x:c r="O124" s="19" t="n">
        <x:v>-115066</x:v>
      </x:c>
      <x:c r="P124" s="17" t="str">
        <x:v>FX-OP-UDL</x:v>
      </x:c>
      <x:c r="Q124" s="21" t="n">
        <x:f>I124</x:f>
        <x:v>70000</x:v>
      </x:c>
      <x:c r="R124" s="22" t="n">
        <x:f>L124</x:f>
        <x:v>-115493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36" hidden="0" customWidth="1"/>
  </x:cols>
  <x:sheetData>
    <x:row r="1">
      <x:c r="A1" s="34" t="str">
        <x:v>Kontrollen</x:v>
      </x:c>
      <x:c r="B1" s="34"/>
      <x:c r="C1" s="34"/>
      <x:c r="D1" s="34"/>
      <x:c r="E1" s="34"/>
      <x:c r="F1" s="34"/>
    </x:row>
    <x:row r="3">
      <x:c r="A3" s="35" t="str">
        <x:v>Prüfung</x:v>
      </x:c>
      <x:c r="B3" s="35" t="str">
        <x:v>Ist</x:v>
      </x:c>
      <x:c r="C3" s="35" t="str">
        <x:v>Erwartet</x:v>
      </x:c>
      <x:c r="D3" s="35" t="str">
        <x:v>Differenz</x:v>
      </x:c>
      <x:c r="E3" s="35" t="str">
        <x:v>Status</x:v>
      </x:c>
      <x:c r="F3" s="35" t="str">
        <x:v>Hinweis</x:v>
      </x:c>
    </x:row>
    <x:row r="4">
      <x:c r="A4" s="29" t="str">
        <x:v>Alle Geschäfte erfasst</x:v>
      </x:c>
      <x:c r="B4" s="29" t="n">
        <x:f>COUNTA('Raw Data'!A2:A124)</x:f>
        <x:v>123</x:v>
      </x:c>
      <x:c r="C4" s="29" t="n">
        <x:v>123</x:v>
      </x:c>
      <x:c r="D4" s="29" t="n">
        <x:f>B4-C4</x:f>
        <x:v>0</x:v>
      </x:c>
      <x:c r="E4" s="29" t="str">
        <x:f>IF(D4=0,"OK","FAIL")</x:f>
        <x:v>OK</x:v>
      </x:c>
      <x:c r="F4" s="29" t="str">
        <x:v>Anzahl CSV-Zeilen</x:v>
      </x:c>
    </x:row>
    <x:row r="5">
      <x:c r="A5" s="29" t="str">
        <x:v>Einheitliches Valutadatum</x:v>
      </x:c>
      <x:c r="B5" s="29" t="n">
        <x:f>IF(MIN('Raw Data'!E2:E124)=MAX('Raw Data'!E2:E124),1,2)</x:f>
        <x:v>1</x:v>
      </x:c>
      <x:c r="C5" s="29" t="n">
        <x:v>1</x:v>
      </x:c>
      <x:c r="D5" s="29" t="n">
        <x:f>B5-C5</x:f>
        <x:v>0</x:v>
      </x:c>
      <x:c r="E5" s="29" t="str">
        <x:f>IF(D5=0,"OK","FAIL")</x:f>
        <x:v>OK</x:v>
      </x:c>
      <x:c r="F5" s="29" t="str">
        <x:v>Ein Stichtag je Auswertung</x:v>
      </x:c>
    </x:row>
    <x:row r="6">
      <x:c r="A6" s="29" t="str">
        <x:v>Netto-EUR-Summe</x:v>
      </x:c>
      <x:c r="B6" s="31" t="n">
        <x:f>SUM('Raw Data'!R2:R124)</x:f>
        <x:v>-74003796.26</x:v>
      </x:c>
      <x:c r="C6" s="31" t="n">
        <x:v>0</x:v>
      </x:c>
      <x:c r="D6" s="31" t="n">
        <x:f>B6-C6</x:f>
        <x:v>-74003796.26</x:v>
      </x:c>
      <x:c r="E6" s="29" t="str">
        <x:f>IF(ABS(D6)&lt;0.01,"OK","CHECK")</x:f>
        <x:v>CHECK</x:v>
      </x:c>
      <x:c r="F6" s="29" t="str">
        <x:v>Kontrollsumme aller EUR-Gegenwerte</x:v>
      </x:c>
    </x:row>
    <x:row r="7">
      <x:c r="A7" s="29" t="str">
        <x:v>Leere Pflichtfelder</x:v>
      </x:c>
      <x:c r="B7" s="29" t="n">
        <x:f>COUNTBLANK('Raw Data'!A2:A124)+COUNTBLANK('Raw Data'!B2:B124)+COUNTBLANK('Raw Data'!C2:C124)+COUNTBLANK('Raw Data'!E2:E124)+COUNTBLANK('Raw Data'!H2:H124)</x:f>
        <x:v>0</x:v>
      </x:c>
      <x:c r="C7" s="29" t="n">
        <x:v>0</x:v>
      </x:c>
      <x:c r="D7" s="29" t="n">
        <x:f>B7-C7</x:f>
        <x:v>0</x:v>
      </x:c>
      <x:c r="E7" s="29" t="str">
        <x:f>IF(D7=0,"OK","FAIL")</x:f>
        <x:v>OK</x:v>
      </x:c>
      <x:c r="F7" s="29" t="str">
        <x:v>Reference, Entity, Counterparty, Date, Currency</x:v>
      </x:c>
    </x:row>
  </x:sheetData>
  <x:mergeCells>
    <x:mergeCell ref="A1:F1"/>
  </x:mergeCells>
  <x:conditionalFormatting sqref="E4:E7">
    <x:cfRule type="containsText" dxfId="4" priority="1" operator="containsText" text="OK"/>
    <x:cfRule type="containsText" dxfId="5" priority="2" operator="containsText" text="FAIL"/>
    <x:cfRule type="containsText" dxfId="6" priority="3" operator="containsText" text="CHECK"/>
  </x:conditionalFormatting>
  <x:pageMargins left="0.7" right="0.7" top="0.75" bottom="0.75" header="0.3" footer="0.3"/>
</x:worksheet>
</file>